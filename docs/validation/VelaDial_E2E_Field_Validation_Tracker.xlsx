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ists" sheetId="1" state="visible" r:id="rId1"/>
    <sheet xmlns:r="http://schemas.openxmlformats.org/officeDocument/2006/relationships" name="00_Start_Here" sheetId="2" state="visible" r:id="rId2"/>
    <sheet xmlns:r="http://schemas.openxmlformats.org/officeDocument/2006/relationships" name="01_Dashboard" sheetId="3" state="visible" r:id="rId3"/>
    <sheet xmlns:r="http://schemas.openxmlformats.org/officeDocument/2006/relationships" name="02_Materials" sheetId="4" state="visible" r:id="rId4"/>
    <sheet xmlns:r="http://schemas.openxmlformats.org/officeDocument/2006/relationships" name="03_RPi_HA_Setup" sheetId="5" state="visible" r:id="rId5"/>
    <sheet xmlns:r="http://schemas.openxmlformats.org/officeDocument/2006/relationships" name="04_HA_LocalTuya" sheetId="6" state="visible" r:id="rId6"/>
    <sheet xmlns:r="http://schemas.openxmlformats.org/officeDocument/2006/relationships" name="05_Wiring" sheetId="7" state="visible" r:id="rId7"/>
    <sheet xmlns:r="http://schemas.openxmlformats.org/officeDocument/2006/relationships" name="06_Door_Flash" sheetId="8" state="visible" r:id="rId8"/>
    <sheet xmlns:r="http://schemas.openxmlformats.org/officeDocument/2006/relationships" name="07_Door_Tests" sheetId="9" state="visible" r:id="rId9"/>
    <sheet xmlns:r="http://schemas.openxmlformats.org/officeDocument/2006/relationships" name="08_Theme_Tests" sheetId="10" state="visible" r:id="rId10"/>
    <sheet xmlns:r="http://schemas.openxmlformats.org/officeDocument/2006/relationships" name="09_Bedside_Flash" sheetId="11" state="visible" r:id="rId11"/>
    <sheet xmlns:r="http://schemas.openxmlformats.org/officeDocument/2006/relationships" name="10_Bedside_Tests" sheetId="12" state="visible" r:id="rId12"/>
    <sheet xmlns:r="http://schemas.openxmlformats.org/officeDocument/2006/relationships" name="11_E2E_System" sheetId="13" state="visible" r:id="rId13"/>
    <sheet xmlns:r="http://schemas.openxmlformats.org/officeDocument/2006/relationships" name="12_Evidence_Log" sheetId="14" state="visible" r:id="rId14"/>
    <sheet xmlns:r="http://schemas.openxmlformats.org/officeDocument/2006/relationships" name="13_Failure_Log" sheetId="15" state="visible" r:id="rId15"/>
    <sheet xmlns:r="http://schemas.openxmlformats.org/officeDocument/2006/relationships" name="14_AI_Review_Input" sheetId="16" state="visible" r:id="rId16"/>
    <sheet xmlns:r="http://schemas.openxmlformats.org/officeDocument/2006/relationships" name="15_Final_Signoff" sheetId="17" state="visible" r:id="rId17"/>
  </sheets>
  <definedNames/>
</workbook>
</file>

<file path=xl/styles.xml><?xml version="1.0" encoding="utf-8"?>
<styleSheet xmlns="http://schemas.openxmlformats.org/spreadsheetml/2006/main">
  <numFmts count="0"/>
  <fonts count="15">
    <font>
      <name val="Carlito"/>
      <sz val="11"/>
    </font>
    <font>
      <name val="Carlito"/>
      <b val="1"/>
      <color rgb="00FFFFFF"/>
      <sz val="16"/>
    </font>
    <font>
      <name val="Carlito"/>
      <i val="1"/>
      <color rgb="001F1F1F"/>
      <sz val="11"/>
    </font>
    <font>
      <name val="Carlito"/>
      <b val="1"/>
      <sz val="11"/>
    </font>
    <font>
      <name val="Carlito"/>
      <b val="1"/>
      <color rgb="00FFFFFF"/>
      <sz val="11"/>
    </font>
    <font>
      <name val="Calibri"/>
      <b val="1"/>
      <color rgb="00FFFFFF"/>
      <sz val="10"/>
    </font>
    <font>
      <name val="Calibri"/>
      <color rgb="0009090B"/>
      <sz val="9.5"/>
    </font>
    <font>
      <name val="Calibri"/>
      <b val="1"/>
      <color rgb="0009090B"/>
      <sz val="18"/>
    </font>
    <font>
      <name val="Calibri"/>
      <i val="1"/>
      <color rgb="00A8A29E"/>
      <sz val="11"/>
    </font>
    <font>
      <name val="Consolas"/>
      <b val="1"/>
      <color rgb="004338CA"/>
      <sz val="9"/>
    </font>
    <font>
      <name val="Calibri"/>
      <b val="1"/>
      <color rgb="00D97706"/>
      <sz val="9.5"/>
    </font>
    <font>
      <name val="Calibri"/>
      <b val="1"/>
      <color rgb="00E11D48"/>
      <sz val="9.5"/>
    </font>
    <font>
      <name val="Consolas"/>
      <b val="1"/>
      <color rgb="004338CA"/>
      <sz val="10"/>
    </font>
    <font>
      <name val="Calibri"/>
      <b val="1"/>
      <color rgb="0009090B"/>
      <sz val="9.5"/>
    </font>
    <font>
      <name val="Calibri"/>
      <b val="1"/>
      <color rgb="00059669"/>
      <sz val="9.5"/>
    </font>
  </fonts>
  <fills count="13">
    <fill>
      <patternFill/>
    </fill>
    <fill>
      <patternFill patternType="gray125"/>
    </fill>
    <fill>
      <patternFill patternType="solid">
        <fgColor rgb="0017365D"/>
      </patternFill>
    </fill>
    <fill>
      <patternFill patternType="solid">
        <fgColor rgb="00DDEBF7"/>
      </patternFill>
    </fill>
    <fill>
      <patternFill patternType="solid">
        <fgColor rgb="00D9EAF7"/>
      </patternFill>
    </fill>
    <fill>
      <patternFill patternType="solid">
        <fgColor rgb="001F4E79"/>
      </patternFill>
    </fill>
    <fill>
      <patternFill patternType="solid">
        <fgColor rgb="00F2F2F2"/>
      </patternFill>
    </fill>
    <fill>
      <patternFill patternType="solid">
        <fgColor rgb="004338CA"/>
        <bgColor rgb="007C3AED"/>
      </patternFill>
    </fill>
    <fill>
      <patternFill patternType="solid">
        <fgColor rgb="00F5F5F4"/>
      </patternFill>
    </fill>
    <fill>
      <patternFill patternType="solid">
        <fgColor rgb="00FAFAF9"/>
      </patternFill>
    </fill>
    <fill>
      <patternFill patternType="solid">
        <fgColor rgb="00FFFBEB"/>
      </patternFill>
    </fill>
    <fill>
      <patternFill patternType="solid">
        <fgColor rgb="001C1917"/>
      </patternFill>
    </fill>
    <fill>
      <patternFill patternType="solid">
        <fgColor rgb="00ECFDF5"/>
      </patternFill>
    </fill>
  </fills>
  <borders count="4">
    <border/>
    <border/>
    <border>
      <left style="thin">
        <color rgb="004338CA"/>
      </left>
      <right style="thin">
        <color rgb="004338CA"/>
      </right>
      <top style="medium">
        <color rgb="004338CA"/>
      </top>
      <bottom style="medium">
        <color rgb="004338CA"/>
      </bottom>
    </border>
    <border>
      <left style="thin">
        <color rgb="00E7E5E4"/>
      </left>
      <right style="thin">
        <color rgb="00E7E5E4"/>
      </right>
      <top style="thin">
        <color rgb="00E7E5E4"/>
      </top>
      <bottom style="thin">
        <color rgb="00E7E5E4"/>
      </bottom>
    </border>
  </borders>
  <cellStyleXfs count="1">
    <xf numFmtId="0" fontId="0" fillId="0" borderId="1"/>
  </cellStyleXfs>
  <cellXfs count="68">
    <xf numFmtId="0" fontId="0" fillId="0" borderId="0" pivotButton="0" quotePrefix="0" xfId="0"/>
    <xf numFmtId="0" fontId="0" fillId="0" borderId="1" pivotButton="0" quotePrefix="0" xfId="0"/>
    <xf numFmtId="0" fontId="0" fillId="2" borderId="0" pivotButton="0" quotePrefix="0" xfId="0"/>
    <xf numFmtId="0" fontId="0" fillId="2" borderId="1" pivotButton="0" quotePrefix="0" xfId="0"/>
    <xf numFmtId="0" fontId="1" fillId="2" borderId="0" pivotButton="0" quotePrefix="0" xfId="0"/>
    <xf numFmtId="0" fontId="1" fillId="2" borderId="1" pivotButton="0" quotePrefix="0" xfId="0"/>
    <xf numFmtId="0" fontId="1" fillId="2" borderId="0" applyAlignment="1" pivotButton="0" quotePrefix="0" xfId="0">
      <alignment horizontal="center"/>
    </xf>
    <xf numFmtId="0" fontId="1" fillId="2" borderId="1" applyAlignment="1" pivotButton="0" quotePrefix="0" xfId="0">
      <alignment horizontal="center"/>
    </xf>
    <xf numFmtId="0" fontId="0" fillId="3" borderId="0" pivotButton="0" quotePrefix="0" xfId="0"/>
    <xf numFmtId="0" fontId="0" fillId="3" borderId="1" pivotButton="0" quotePrefix="0" xfId="0"/>
    <xf numFmtId="0" fontId="2" fillId="3" borderId="0" pivotButton="0" quotePrefix="0" xfId="0"/>
    <xf numFmtId="0" fontId="2" fillId="3" borderId="1" pivotButton="0" quotePrefix="0" xfId="0"/>
    <xf numFmtId="0" fontId="2" fillId="3" borderId="0" applyAlignment="1" pivotButton="0" quotePrefix="0" xfId="0">
      <alignment wrapText="1"/>
    </xf>
    <xf numFmtId="0" fontId="2" fillId="3" borderId="1" applyAlignment="1" pivotButton="0" quotePrefix="0" xfId="0">
      <alignment wrapText="1"/>
    </xf>
    <xf numFmtId="0" fontId="0" fillId="4" borderId="0" pivotButton="0" quotePrefix="0" xfId="0"/>
    <xf numFmtId="0" fontId="0" fillId="4" borderId="1" pivotButton="0" quotePrefix="0" xfId="0"/>
    <xf numFmtId="0" fontId="3" fillId="4" borderId="0" pivotButton="0" quotePrefix="0" xfId="0"/>
    <xf numFmtId="0" fontId="3" fillId="4" borderId="1" pivotButton="0" quotePrefix="0" xfId="0"/>
    <xf numFmtId="0" fontId="3" fillId="4" borderId="0" applyAlignment="1" pivotButton="0" quotePrefix="0" xfId="0">
      <alignment wrapText="1"/>
    </xf>
    <xf numFmtId="0" fontId="0" fillId="0" borderId="0" applyAlignment="1" pivotButton="0" quotePrefix="0" xfId="0">
      <alignment wrapText="1"/>
    </xf>
    <xf numFmtId="0" fontId="3" fillId="4" borderId="1" applyAlignment="1" pivotButton="0" quotePrefix="0" xfId="0">
      <alignment wrapText="1"/>
    </xf>
    <xf numFmtId="0" fontId="0" fillId="0" borderId="1" applyAlignment="1" pivotButton="0" quotePrefix="0" xfId="0">
      <alignment wrapText="1"/>
    </xf>
    <xf numFmtId="0" fontId="0" fillId="5" borderId="0" pivotButton="0" quotePrefix="0" xfId="0"/>
    <xf numFmtId="0" fontId="0" fillId="5" borderId="1" pivotButton="0" quotePrefix="0" xfId="0"/>
    <xf numFmtId="0" fontId="4" fillId="5" borderId="0" pivotButton="0" quotePrefix="0" xfId="0"/>
    <xf numFmtId="0" fontId="4" fillId="5" borderId="1" pivotButton="0" quotePrefix="0" xfId="0"/>
    <xf numFmtId="0" fontId="4" fillId="5" borderId="0" applyAlignment="1" pivotButton="0" quotePrefix="0" xfId="0">
      <alignment horizontal="center"/>
    </xf>
    <xf numFmtId="0" fontId="4" fillId="5" borderId="1" applyAlignment="1" pivotButton="0" quotePrefix="0" xfId="0">
      <alignment horizontal="center"/>
    </xf>
    <xf numFmtId="0" fontId="4" fillId="5" borderId="0" applyAlignment="1" pivotButton="0" quotePrefix="0" xfId="0">
      <alignment horizontal="center" vertical="center"/>
    </xf>
    <xf numFmtId="0" fontId="4" fillId="5" borderId="1" applyAlignment="1" pivotButton="0" quotePrefix="0" xfId="0">
      <alignment horizontal="center" vertical="center"/>
    </xf>
    <xf numFmtId="0" fontId="4" fillId="5" borderId="0" applyAlignment="1" pivotButton="0" quotePrefix="0" xfId="0">
      <alignment horizontal="center" vertical="center" wrapText="1"/>
    </xf>
    <xf numFmtId="0" fontId="4" fillId="5" borderId="1" applyAlignment="1" pivotButton="0" quotePrefix="0" xfId="0">
      <alignment horizontal="center" vertical="center" wrapText="1"/>
    </xf>
    <xf numFmtId="0" fontId="0" fillId="0" borderId="0" applyAlignment="1" pivotButton="0" quotePrefix="0" xfId="0">
      <alignment vertical="top" wrapText="1"/>
    </xf>
    <xf numFmtId="0" fontId="0" fillId="0" borderId="1" applyAlignment="1" pivotButton="0" quotePrefix="0" xfId="0">
      <alignment vertical="top" wrapText="1"/>
    </xf>
    <xf numFmtId="0" fontId="0" fillId="6" borderId="0" pivotButton="0" quotePrefix="0" xfId="0"/>
    <xf numFmtId="0" fontId="0" fillId="6" borderId="1" pivotButton="0" quotePrefix="0" xfId="0"/>
    <xf numFmtId="0" fontId="3" fillId="0" borderId="0" pivotButton="0" quotePrefix="0" xfId="0"/>
    <xf numFmtId="0" fontId="3" fillId="0" borderId="1" pivotButton="0" quotePrefix="0" xfId="0"/>
    <xf numFmtId="0" fontId="4" fillId="5" borderId="0" applyAlignment="1" pivotButton="0" quotePrefix="0" xfId="0">
      <alignment wrapText="1"/>
    </xf>
    <xf numFmtId="0" fontId="4" fillId="5" borderId="1" applyAlignment="1" pivotButton="0" quotePrefix="0" xfId="0">
      <alignment wrapText="1"/>
    </xf>
    <xf numFmtId="0" fontId="0" fillId="0" borderId="0" applyAlignment="1" pivotButton="0" quotePrefix="0" xfId="0">
      <alignment horizontal="center"/>
    </xf>
    <xf numFmtId="0" fontId="0" fillId="0" borderId="1" applyAlignment="1" pivotButton="0" quotePrefix="0" xfId="0">
      <alignment horizontal="center"/>
    </xf>
    <xf numFmtId="0" fontId="5" fillId="7" borderId="2" applyAlignment="1" pivotButton="0" quotePrefix="0" xfId="0">
      <alignment horizontal="center" vertical="center" wrapText="1"/>
    </xf>
    <xf numFmtId="0" fontId="6" fillId="8" borderId="3" applyAlignment="1" pivotButton="0" quotePrefix="0" xfId="0">
      <alignment horizontal="left" vertical="center" wrapText="1"/>
    </xf>
    <xf numFmtId="0" fontId="6" fillId="9" borderId="3" applyAlignment="1" pivotButton="0" quotePrefix="0" xfId="0">
      <alignment horizontal="left" vertical="center" wrapText="1"/>
    </xf>
    <xf numFmtId="0" fontId="7" fillId="9" borderId="1" applyAlignment="1" pivotButton="0" quotePrefix="0" xfId="0">
      <alignment horizontal="left" vertical="center" wrapText="1"/>
    </xf>
    <xf numFmtId="0" fontId="6" fillId="9" borderId="1" applyAlignment="1" pivotButton="0" quotePrefix="0" xfId="0">
      <alignment horizontal="left" vertical="center" wrapText="1"/>
    </xf>
    <xf numFmtId="0" fontId="0" fillId="9" borderId="1" applyAlignment="1" pivotButton="0" quotePrefix="0" xfId="0">
      <alignment horizontal="left" vertical="center" wrapText="1"/>
    </xf>
    <xf numFmtId="0" fontId="0" fillId="9" borderId="0" applyAlignment="1" pivotButton="0" quotePrefix="0" xfId="0">
      <alignment horizontal="left" vertical="center" wrapText="1"/>
    </xf>
    <xf numFmtId="0" fontId="6" fillId="9" borderId="0" applyAlignment="1" pivotButton="0" quotePrefix="0" xfId="0">
      <alignment horizontal="left" vertical="center" wrapText="1"/>
    </xf>
    <xf numFmtId="0" fontId="7" fillId="9" borderId="1" applyAlignment="1" pivotButton="0" quotePrefix="0" xfId="0">
      <alignment horizontal="center"/>
    </xf>
    <xf numFmtId="0" fontId="7" fillId="9" borderId="1" pivotButton="0" quotePrefix="0" xfId="0"/>
    <xf numFmtId="0" fontId="8" fillId="9" borderId="1" applyAlignment="1" pivotButton="0" quotePrefix="0" xfId="0">
      <alignment wrapText="1"/>
    </xf>
    <xf numFmtId="0" fontId="8" fillId="9" borderId="1" pivotButton="0" quotePrefix="0" xfId="0"/>
    <xf numFmtId="0" fontId="9" fillId="9" borderId="3" applyAlignment="1" pivotButton="0" quotePrefix="0" xfId="0">
      <alignment horizontal="left" vertical="center" wrapText="1"/>
    </xf>
    <xf numFmtId="0" fontId="10" fillId="10" borderId="3" applyAlignment="1" pivotButton="0" quotePrefix="0" xfId="0">
      <alignment horizontal="left" vertical="center" wrapText="1"/>
    </xf>
    <xf numFmtId="0" fontId="10" fillId="9" borderId="3" applyAlignment="1" pivotButton="0" quotePrefix="0" xfId="0">
      <alignment horizontal="left" vertical="center" wrapText="1"/>
    </xf>
    <xf numFmtId="0" fontId="9" fillId="8" borderId="3" applyAlignment="1" pivotButton="0" quotePrefix="0" xfId="0">
      <alignment horizontal="left" vertical="center" wrapText="1"/>
    </xf>
    <xf numFmtId="0" fontId="10" fillId="8" borderId="3" applyAlignment="1" pivotButton="0" quotePrefix="0" xfId="0">
      <alignment horizontal="left" vertical="center" wrapText="1"/>
    </xf>
    <xf numFmtId="0" fontId="11" fillId="8" borderId="3" applyAlignment="1" pivotButton="0" quotePrefix="0" xfId="0">
      <alignment horizontal="left" vertical="center" wrapText="1"/>
    </xf>
    <xf numFmtId="0" fontId="11" fillId="9" borderId="3" applyAlignment="1" pivotButton="0" quotePrefix="0" xfId="0">
      <alignment horizontal="left" vertical="center" wrapText="1"/>
    </xf>
    <xf numFmtId="0" fontId="0" fillId="9" borderId="0" pivotButton="0" quotePrefix="0" xfId="0"/>
    <xf numFmtId="0" fontId="12" fillId="9" borderId="3" applyAlignment="1" pivotButton="0" quotePrefix="0" xfId="0">
      <alignment horizontal="center" vertical="center" wrapText="1"/>
    </xf>
    <xf numFmtId="0" fontId="13" fillId="9" borderId="3" applyAlignment="1" pivotButton="0" quotePrefix="0" xfId="0">
      <alignment horizontal="left" vertical="center" wrapText="1"/>
    </xf>
    <xf numFmtId="0" fontId="12" fillId="8" borderId="3" applyAlignment="1" pivotButton="0" quotePrefix="0" xfId="0">
      <alignment horizontal="center" vertical="center" wrapText="1"/>
    </xf>
    <xf numFmtId="0" fontId="13" fillId="8" borderId="3" applyAlignment="1" pivotButton="0" quotePrefix="0" xfId="0">
      <alignment horizontal="left" vertical="center" wrapText="1"/>
    </xf>
    <xf numFmtId="0" fontId="5" fillId="11" borderId="2" applyAlignment="1" pivotButton="0" quotePrefix="0" xfId="0">
      <alignment horizontal="center" vertical="center" wrapText="1"/>
    </xf>
    <xf numFmtId="0" fontId="14" fillId="12" borderId="3" applyAlignment="1" pivotButton="0" quotePrefix="0" xfId="0">
      <alignment horizontal="left" vertical="center" wrapText="1"/>
    </xf>
  </cellXfs>
  <cellStyles count="1">
    <cellStyle name="Normal" xfId="0"/>
  </cellStyles>
  <dxfs count="76">
    <dxf>
      <fill>
        <patternFill patternType="solid">
          <bgColor rgb="00C6EFCE"/>
        </patternFill>
      </fill>
    </dxf>
    <dxf>
      <fill>
        <patternFill patternType="solid">
          <bgColor rgb="00FFC7CE"/>
        </patternFill>
      </fill>
    </dxf>
    <dxf>
      <fill>
        <patternFill patternType="solid">
          <bgColor rgb="00FFEB9C"/>
        </patternFill>
      </fill>
    </dxf>
    <dxf>
      <fill>
        <patternFill patternType="solid">
          <bgColor rgb="00FCE4D6"/>
        </patternFill>
      </fill>
    </dxf>
    <dxf>
      <fill>
        <patternFill patternType="solid">
          <bgColor rgb="00E7E6E6"/>
        </patternFill>
      </fill>
    </dxf>
    <dxf>
      <font>
        <b val="1"/>
      </font>
      <fill>
        <patternFill patternType="solid">
          <bgColor rgb="00FFC7CE"/>
        </patternFill>
      </fill>
    </dxf>
    <dxf>
      <fill>
        <patternFill patternType="solid">
          <bgColor rgb="00FCE4D6"/>
        </patternFill>
      </fill>
    </dxf>
    <dxf>
      <fill>
        <patternFill patternType="solid">
          <bgColor rgb="00FFEB9C"/>
        </patternFill>
      </fill>
    </dxf>
    <dxf>
      <fill>
        <patternFill patternType="solid">
          <bgColor rgb="00C6EFCE"/>
        </patternFill>
      </fill>
    </dxf>
    <dxf>
      <fill>
        <patternFill patternType="solid">
          <bgColor rgb="00FFC7CE"/>
        </patternFill>
      </fill>
    </dxf>
    <dxf>
      <fill>
        <patternFill patternType="solid">
          <bgColor rgb="00FFEB9C"/>
        </patternFill>
      </fill>
    </dxf>
    <dxf>
      <fill>
        <patternFill patternType="solid">
          <bgColor rgb="00FCE4D6"/>
        </patternFill>
      </fill>
    </dxf>
    <dxf>
      <fill>
        <patternFill patternType="solid">
          <bgColor rgb="00E7E6E6"/>
        </patternFill>
      </fill>
    </dxf>
    <dxf>
      <font>
        <b val="1"/>
      </font>
      <fill>
        <patternFill patternType="solid">
          <bgColor rgb="00FFC7CE"/>
        </patternFill>
      </fill>
    </dxf>
    <dxf>
      <fill>
        <patternFill patternType="solid">
          <bgColor rgb="00FCE4D6"/>
        </patternFill>
      </fill>
    </dxf>
    <dxf>
      <fill>
        <patternFill patternType="solid">
          <bgColor rgb="00FFEB9C"/>
        </patternFill>
      </fill>
    </dxf>
    <dxf>
      <fill>
        <patternFill patternType="solid">
          <bgColor rgb="00C6EFCE"/>
        </patternFill>
      </fill>
    </dxf>
    <dxf>
      <fill>
        <patternFill patternType="solid">
          <bgColor rgb="00FFC7CE"/>
        </patternFill>
      </fill>
    </dxf>
    <dxf>
      <fill>
        <patternFill patternType="solid">
          <bgColor rgb="00FFEB9C"/>
        </patternFill>
      </fill>
    </dxf>
    <dxf>
      <fill>
        <patternFill patternType="solid">
          <bgColor rgb="00FCE4D6"/>
        </patternFill>
      </fill>
    </dxf>
    <dxf>
      <fill>
        <patternFill patternType="solid">
          <bgColor rgb="00E7E6E6"/>
        </patternFill>
      </fill>
    </dxf>
    <dxf>
      <font>
        <b val="1"/>
      </font>
      <fill>
        <patternFill patternType="solid">
          <bgColor rgb="00FFC7CE"/>
        </patternFill>
      </fill>
    </dxf>
    <dxf>
      <fill>
        <patternFill patternType="solid">
          <bgColor rgb="00FCE4D6"/>
        </patternFill>
      </fill>
    </dxf>
    <dxf>
      <fill>
        <patternFill patternType="solid">
          <bgColor rgb="00FFEB9C"/>
        </patternFill>
      </fill>
    </dxf>
    <dxf>
      <fill>
        <patternFill patternType="solid">
          <bgColor rgb="00C6EFCE"/>
        </patternFill>
      </fill>
    </dxf>
    <dxf>
      <fill>
        <patternFill patternType="solid">
          <bgColor rgb="00FFC7CE"/>
        </patternFill>
      </fill>
    </dxf>
    <dxf>
      <fill>
        <patternFill patternType="solid">
          <bgColor rgb="00FFEB9C"/>
        </patternFill>
      </fill>
    </dxf>
    <dxf>
      <fill>
        <patternFill patternType="solid">
          <bgColor rgb="00FCE4D6"/>
        </patternFill>
      </fill>
    </dxf>
    <dxf>
      <fill>
        <patternFill patternType="solid">
          <bgColor rgb="00E7E6E6"/>
        </patternFill>
      </fill>
    </dxf>
    <dxf>
      <font>
        <b val="1"/>
      </font>
      <fill>
        <patternFill patternType="solid">
          <bgColor rgb="00FFC7CE"/>
        </patternFill>
      </fill>
    </dxf>
    <dxf>
      <fill>
        <patternFill patternType="solid">
          <bgColor rgb="00FCE4D6"/>
        </patternFill>
      </fill>
    </dxf>
    <dxf>
      <fill>
        <patternFill patternType="solid">
          <bgColor rgb="00FFEB9C"/>
        </patternFill>
      </fill>
    </dxf>
    <dxf>
      <fill>
        <patternFill patternType="solid">
          <bgColor rgb="00C6EFCE"/>
        </patternFill>
      </fill>
    </dxf>
    <dxf>
      <fill>
        <patternFill patternType="solid">
          <bgColor rgb="00FFC7CE"/>
        </patternFill>
      </fill>
    </dxf>
    <dxf>
      <fill>
        <patternFill patternType="solid">
          <bgColor rgb="00FFEB9C"/>
        </patternFill>
      </fill>
    </dxf>
    <dxf>
      <fill>
        <patternFill patternType="solid">
          <bgColor rgb="00FCE4D6"/>
        </patternFill>
      </fill>
    </dxf>
    <dxf>
      <fill>
        <patternFill patternType="solid">
          <bgColor rgb="00E7E6E6"/>
        </patternFill>
      </fill>
    </dxf>
    <dxf>
      <font>
        <b val="1"/>
      </font>
      <fill>
        <patternFill patternType="solid">
          <bgColor rgb="00FFC7CE"/>
        </patternFill>
      </fill>
    </dxf>
    <dxf>
      <fill>
        <patternFill patternType="solid">
          <bgColor rgb="00FCE4D6"/>
        </patternFill>
      </fill>
    </dxf>
    <dxf>
      <fill>
        <patternFill patternType="solid">
          <bgColor rgb="00FFEB9C"/>
        </patternFill>
      </fill>
    </dxf>
    <dxf>
      <fill>
        <patternFill patternType="solid">
          <bgColor rgb="00C6EFCE"/>
        </patternFill>
      </fill>
    </dxf>
    <dxf>
      <fill>
        <patternFill patternType="solid">
          <bgColor rgb="00FFC7CE"/>
        </patternFill>
      </fill>
    </dxf>
    <dxf>
      <fill>
        <patternFill patternType="solid">
          <bgColor rgb="00FFEB9C"/>
        </patternFill>
      </fill>
    </dxf>
    <dxf>
      <fill>
        <patternFill patternType="solid">
          <bgColor rgb="00FCE4D6"/>
        </patternFill>
      </fill>
    </dxf>
    <dxf>
      <fill>
        <patternFill patternType="solid">
          <bgColor rgb="00E7E6E6"/>
        </patternFill>
      </fill>
    </dxf>
    <dxf>
      <font>
        <b val="1"/>
      </font>
      <fill>
        <patternFill patternType="solid">
          <bgColor rgb="00FFC7CE"/>
        </patternFill>
      </fill>
    </dxf>
    <dxf>
      <fill>
        <patternFill patternType="solid">
          <bgColor rgb="00FCE4D6"/>
        </patternFill>
      </fill>
    </dxf>
    <dxf>
      <fill>
        <patternFill patternType="solid">
          <bgColor rgb="00FFEB9C"/>
        </patternFill>
      </fill>
    </dxf>
    <dxf>
      <fill>
        <patternFill patternType="solid">
          <bgColor rgb="00C6EFCE"/>
        </patternFill>
      </fill>
    </dxf>
    <dxf>
      <fill>
        <patternFill patternType="solid">
          <bgColor rgb="00FFC7CE"/>
        </patternFill>
      </fill>
    </dxf>
    <dxf>
      <fill>
        <patternFill patternType="solid">
          <bgColor rgb="00E7E6E6"/>
        </patternFill>
      </fill>
    </dxf>
    <dxf>
      <fill>
        <patternFill patternType="solid">
          <bgColor rgb="00FFEB9C"/>
        </patternFill>
      </fill>
    </dxf>
    <dxf>
      <fill>
        <patternFill patternType="solid">
          <bgColor rgb="00C6EFCE"/>
        </patternFill>
      </fill>
    </dxf>
    <dxf>
      <fill>
        <patternFill patternType="solid">
          <bgColor rgb="00FFC7CE"/>
        </patternFill>
      </fill>
    </dxf>
    <dxf>
      <fill>
        <patternFill patternType="solid">
          <bgColor rgb="00FFEB9C"/>
        </patternFill>
      </fill>
    </dxf>
    <dxf>
      <fill>
        <patternFill patternType="solid">
          <bgColor rgb="00FCE4D6"/>
        </patternFill>
      </fill>
    </dxf>
    <dxf>
      <fill>
        <patternFill patternType="solid">
          <bgColor rgb="00E7E6E6"/>
        </patternFill>
      </fill>
    </dxf>
    <dxf>
      <font>
        <b val="1"/>
      </font>
      <fill>
        <patternFill patternType="solid">
          <bgColor rgb="00FFC7CE"/>
        </patternFill>
      </fill>
    </dxf>
    <dxf>
      <fill>
        <patternFill patternType="solid">
          <bgColor rgb="00FCE4D6"/>
        </patternFill>
      </fill>
    </dxf>
    <dxf>
      <fill>
        <patternFill patternType="solid">
          <bgColor rgb="00FFEB9C"/>
        </patternFill>
      </fill>
    </dxf>
    <dxf>
      <fill>
        <patternFill patternType="solid">
          <bgColor rgb="00C6EFCE"/>
        </patternFill>
      </fill>
    </dxf>
    <dxf>
      <fill>
        <patternFill patternType="solid">
          <bgColor rgb="00FFC7CE"/>
        </patternFill>
      </fill>
    </dxf>
    <dxf>
      <fill>
        <patternFill patternType="solid">
          <bgColor rgb="00FFEB9C"/>
        </patternFill>
      </fill>
    </dxf>
    <dxf>
      <fill>
        <patternFill patternType="solid">
          <bgColor rgb="00FCE4D6"/>
        </patternFill>
      </fill>
    </dxf>
    <dxf>
      <fill>
        <patternFill patternType="solid">
          <bgColor rgb="00E7E6E6"/>
        </patternFill>
      </fill>
    </dxf>
    <dxf>
      <font>
        <b val="1"/>
      </font>
      <fill>
        <patternFill patternType="solid">
          <bgColor rgb="00FFC7CE"/>
        </patternFill>
      </fill>
    </dxf>
    <dxf>
      <fill>
        <patternFill patternType="solid">
          <bgColor rgb="00FCE4D6"/>
        </patternFill>
      </fill>
    </dxf>
    <dxf>
      <fill>
        <patternFill patternType="solid">
          <bgColor rgb="00FFEB9C"/>
        </patternFill>
      </fill>
    </dxf>
    <dxf>
      <fill>
        <patternFill patternType="solid">
          <bgColor rgb="00C6EFCE"/>
        </patternFill>
      </fill>
    </dxf>
    <dxf>
      <fill>
        <patternFill patternType="solid">
          <bgColor rgb="00FFC7CE"/>
        </patternFill>
      </fill>
    </dxf>
    <dxf>
      <fill>
        <patternFill patternType="solid">
          <bgColor rgb="00FFEB9C"/>
        </patternFill>
      </fill>
    </dxf>
    <dxf>
      <fill>
        <patternFill patternType="solid">
          <bgColor rgb="00FCE4D6"/>
        </patternFill>
      </fill>
    </dxf>
    <dxf>
      <fill>
        <patternFill patternType="solid">
          <bgColor rgb="00E7E6E6"/>
        </patternFill>
      </fill>
    </dxf>
    <dxf>
      <font>
        <b val="1"/>
      </font>
      <fill>
        <patternFill patternType="solid">
          <bgColor rgb="00FFC7CE"/>
        </patternFill>
      </fill>
    </dxf>
    <dxf>
      <fill>
        <patternFill patternType="solid">
          <bgColor rgb="00FCE4D6"/>
        </patternFill>
      </fill>
    </dxf>
    <dxf>
      <fill>
        <patternFill patternType="solid">
          <bgColor rgb="00FFEB9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T_02_Materials" displayName="T_02_Materials" ref="A4:O120" headerRowCount="1">
  <tableColumns count="15">
    <tableColumn id="1" name="Step ID"/>
    <tableColumn id="2" name="Stage"/>
    <tableColumn id="3" name="Category"/>
    <tableColumn id="4" name="Step / Test"/>
    <tableColumn id="5" name="Command / Action"/>
    <tableColumn id="6" name="Expected Result"/>
    <tableColumn id="7" name="Status"/>
    <tableColumn id="8" name="Actual Result"/>
    <tableColumn id="9" name="Observation"/>
    <tableColumn id="10" name="Evidence Ref"/>
    <tableColumn id="11" name="Severity"/>
    <tableColumn id="12" name="Owner"/>
    <tableColumn id="13" name="Blocking?"/>
    <tableColumn id="14" name="AI Fix Needed?"/>
    <tableColumn id="15" name="Next Action"/>
  </tableColumns>
  <tableStyleInfo name="TableStyleMedium2" showRowStripes="1"/>
</table>
</file>

<file path=xl/tables/table2.xml><?xml version="1.0" encoding="utf-8"?>
<table xmlns="http://schemas.openxmlformats.org/spreadsheetml/2006/main" id="2" name="T_03_RPi_HA_Setup" displayName="T_03_RPi_HA_Setup" ref="A4:O140" headerRowCount="1">
  <tableColumns count="15">
    <tableColumn id="1" name="Step ID"/>
    <tableColumn id="2" name="Stage"/>
    <tableColumn id="3" name="Category"/>
    <tableColumn id="4" name="Step / Test"/>
    <tableColumn id="5" name="Command / Action"/>
    <tableColumn id="6" name="Expected Result"/>
    <tableColumn id="7" name="Status"/>
    <tableColumn id="8" name="Actual Result"/>
    <tableColumn id="9" name="Observation"/>
    <tableColumn id="10" name="Evidence Ref"/>
    <tableColumn id="11" name="Severity"/>
    <tableColumn id="12" name="Owner"/>
    <tableColumn id="13" name="Blocking?"/>
    <tableColumn id="14" name="AI Fix Needed?"/>
    <tableColumn id="15" name="Next Action"/>
  </tableColumns>
  <tableStyleInfo name="TableStyleMedium2" showRowStripes="1"/>
</table>
</file>

<file path=xl/tables/table3.xml><?xml version="1.0" encoding="utf-8"?>
<table xmlns="http://schemas.openxmlformats.org/spreadsheetml/2006/main" id="3" name="T_04_HA_LocalTuya" displayName="T_04_HA_LocalTuya" ref="A4:O160" headerRowCount="1">
  <tableColumns count="15">
    <tableColumn id="1" name="Step ID"/>
    <tableColumn id="2" name="Stage"/>
    <tableColumn id="3" name="Category"/>
    <tableColumn id="4" name="Step / Test"/>
    <tableColumn id="5" name="Command / Action"/>
    <tableColumn id="6" name="Expected Result"/>
    <tableColumn id="7" name="Status"/>
    <tableColumn id="8" name="Actual Result"/>
    <tableColumn id="9" name="Observation"/>
    <tableColumn id="10" name="Evidence Ref"/>
    <tableColumn id="11" name="Severity"/>
    <tableColumn id="12" name="Owner"/>
    <tableColumn id="13" name="Blocking?"/>
    <tableColumn id="14" name="AI Fix Needed?"/>
    <tableColumn id="15" name="Next Action"/>
  </tableColumns>
  <tableStyleInfo name="TableStyleMedium2" showRowStripes="1"/>
</table>
</file>

<file path=xl/tables/table4.xml><?xml version="1.0" encoding="utf-8"?>
<table xmlns="http://schemas.openxmlformats.org/spreadsheetml/2006/main" id="4" name="T_05_Wiring" displayName="T_05_Wiring" ref="A4:O120" headerRowCount="1">
  <tableColumns count="15">
    <tableColumn id="1" name="Step ID"/>
    <tableColumn id="2" name="Stage"/>
    <tableColumn id="3" name="Category"/>
    <tableColumn id="4" name="Step / Test"/>
    <tableColumn id="5" name="Command / Action"/>
    <tableColumn id="6" name="Expected Result"/>
    <tableColumn id="7" name="Status"/>
    <tableColumn id="8" name="Actual Result"/>
    <tableColumn id="9" name="Observation"/>
    <tableColumn id="10" name="Evidence Ref"/>
    <tableColumn id="11" name="Severity"/>
    <tableColumn id="12" name="Owner"/>
    <tableColumn id="13" name="Blocking?"/>
    <tableColumn id="14" name="AI Fix Needed?"/>
    <tableColumn id="15" name="Next Action"/>
  </tableColumns>
  <tableStyleInfo name="TableStyleMedium2" showRowStripes="1"/>
</table>
</file>

<file path=xl/tables/table5.xml><?xml version="1.0" encoding="utf-8"?>
<table xmlns="http://schemas.openxmlformats.org/spreadsheetml/2006/main" id="5" name="T_06_Door_Flash" displayName="T_06_Door_Flash" ref="A4:O140" headerRowCount="1">
  <tableColumns count="15">
    <tableColumn id="1" name="Step ID"/>
    <tableColumn id="2" name="Stage"/>
    <tableColumn id="3" name="Category"/>
    <tableColumn id="4" name="Step / Test"/>
    <tableColumn id="5" name="Command / Action"/>
    <tableColumn id="6" name="Expected Result"/>
    <tableColumn id="7" name="Status"/>
    <tableColumn id="8" name="Actual Result"/>
    <tableColumn id="9" name="Observation"/>
    <tableColumn id="10" name="Evidence Ref"/>
    <tableColumn id="11" name="Severity"/>
    <tableColumn id="12" name="Owner"/>
    <tableColumn id="13" name="Blocking?"/>
    <tableColumn id="14" name="AI Fix Needed?"/>
    <tableColumn id="15" name="Next Action"/>
  </tableColumns>
  <tableStyleInfo name="TableStyleMedium2" showRowStripes="1"/>
</table>
</file>

<file path=xl/tables/table6.xml><?xml version="1.0" encoding="utf-8"?>
<table xmlns="http://schemas.openxmlformats.org/spreadsheetml/2006/main" id="6" name="T_07_Door_Tests" displayName="T_07_Door_Tests" ref="A4:O180" headerRowCount="1">
  <tableColumns count="15">
    <tableColumn id="1" name="Step ID"/>
    <tableColumn id="2" name="Stage"/>
    <tableColumn id="3" name="Category"/>
    <tableColumn id="4" name="Step / Test"/>
    <tableColumn id="5" name="Command / Action"/>
    <tableColumn id="6" name="Expected Result"/>
    <tableColumn id="7" name="Status"/>
    <tableColumn id="8" name="Actual Result"/>
    <tableColumn id="9" name="Observation"/>
    <tableColumn id="10" name="Evidence Ref"/>
    <tableColumn id="11" name="Severity"/>
    <tableColumn id="12" name="Owner"/>
    <tableColumn id="13" name="Blocking?"/>
    <tableColumn id="14" name="AI Fix Needed?"/>
    <tableColumn id="15" name="Next Action"/>
  </tableColumns>
  <tableStyleInfo name="TableStyleMedium2" showRowStripes="1"/>
</table>
</file>

<file path=xl/tables/table7.xml><?xml version="1.0" encoding="utf-8"?>
<table xmlns="http://schemas.openxmlformats.org/spreadsheetml/2006/main" id="7" name="ThemeValidationTable" displayName="ThemeValidationTable" ref="A4:M24" headerRowCount="1">
  <tableColumns count="13">
    <tableColumn id="1" name="#"/>
    <tableColumn id="2" name="Theme"/>
    <tableColumn id="3" name="Browse Reachable"/>
    <tableColumn id="4" name="Applies"/>
    <tableColumn id="5" name="Visible UI Change"/>
    <tableColumn id="6" name="LED Ring Change"/>
    <tableColumn id="7" name="Reboot Persistence"/>
    <tableColumn id="8" name="Status"/>
    <tableColumn id="9" name="Observation"/>
    <tableColumn id="10" name="Evidence Ref"/>
    <tableColumn id="11" name="Visual Refinement Needed?"/>
    <tableColumn id="12" name="Severity"/>
    <tableColumn id="13" name="Next Action"/>
  </tableColumns>
  <tableStyleInfo name="TableStyleMedium2" showRowStripes="1"/>
</table>
</file>

<file path=xl/tables/table8.xml><?xml version="1.0" encoding="utf-8"?>
<table xmlns="http://schemas.openxmlformats.org/spreadsheetml/2006/main" id="8" name="T_09_Bedside_Flash" displayName="T_09_Bedside_Flash" ref="A4:O140" headerRowCount="1">
  <tableColumns count="15">
    <tableColumn id="1" name="Step ID"/>
    <tableColumn id="2" name="Stage"/>
    <tableColumn id="3" name="Category"/>
    <tableColumn id="4" name="Step / Test"/>
    <tableColumn id="5" name="Command / Action"/>
    <tableColumn id="6" name="Expected Result"/>
    <tableColumn id="7" name="Status"/>
    <tableColumn id="8" name="Actual Result"/>
    <tableColumn id="9" name="Observation"/>
    <tableColumn id="10" name="Evidence Ref"/>
    <tableColumn id="11" name="Severity"/>
    <tableColumn id="12" name="Owner"/>
    <tableColumn id="13" name="Blocking?"/>
    <tableColumn id="14" name="AI Fix Needed?"/>
    <tableColumn id="15" name="Next Action"/>
  </tableColumns>
  <tableStyleInfo name="TableStyleMedium2" showRowStripes="1"/>
</table>
</file>

<file path=xl/tables/table9.xml><?xml version="1.0" encoding="utf-8"?>
<table xmlns="http://schemas.openxmlformats.org/spreadsheetml/2006/main" id="9" name="T_10_Bedside_Tests" displayName="T_10_Bedside_Tests" ref="A4:O140" headerRowCount="1">
  <tableColumns count="15">
    <tableColumn id="1" name="Step ID"/>
    <tableColumn id="2" name="Stage"/>
    <tableColumn id="3" name="Category"/>
    <tableColumn id="4" name="Step / Test"/>
    <tableColumn id="5" name="Command / Action"/>
    <tableColumn id="6" name="Expected Result"/>
    <tableColumn id="7" name="Status"/>
    <tableColumn id="8" name="Actual Result"/>
    <tableColumn id="9" name="Observation"/>
    <tableColumn id="10" name="Evidence Ref"/>
    <tableColumn id="11" name="Severity"/>
    <tableColumn id="12" name="Owner"/>
    <tableColumn id="13" name="Blocking?"/>
    <tableColumn id="14" name="AI Fix Needed?"/>
    <tableColumn id="15" name="Next Action"/>
  </tableColumns>
  <tableStyleInfo name="TableStyleMedium2" showRowStripes="1"/>
</table>
</file>

<file path=xl/tables/table10.xml><?xml version="1.0" encoding="utf-8"?>
<table xmlns="http://schemas.openxmlformats.org/spreadsheetml/2006/main" id="10" name="T_11_E2E_System" displayName="T_11_E2E_System" ref="A4:O160" headerRowCount="1">
  <tableColumns count="15">
    <tableColumn id="1" name="Step ID"/>
    <tableColumn id="2" name="Stage"/>
    <tableColumn id="3" name="Category"/>
    <tableColumn id="4" name="Step / Test"/>
    <tableColumn id="5" name="Command / Action"/>
    <tableColumn id="6" name="Expected Result"/>
    <tableColumn id="7" name="Status"/>
    <tableColumn id="8" name="Actual Result"/>
    <tableColumn id="9" name="Observation"/>
    <tableColumn id="10" name="Evidence Ref"/>
    <tableColumn id="11" name="Severity"/>
    <tableColumn id="12" name="Owner"/>
    <tableColumn id="13" name="Blocking?"/>
    <tableColumn id="14" name="AI Fix Needed?"/>
    <tableColumn id="15" name="Next Action"/>
  </tableColumns>
  <tableStyleInfo name="TableStyleMedium2" showRowStripes="1"/>
</table>
</file>

<file path=xl/tables/table11.xml><?xml version="1.0" encoding="utf-8"?>
<table xmlns="http://schemas.openxmlformats.org/spreadsheetml/2006/main" id="11" name="EvidenceLogTable" displayName="EvidenceLogTable" ref="A4:J120" headerRowCount="1">
  <tableColumns count="10">
    <tableColumn id="1" name="Evidence ID"/>
    <tableColumn id="2" name="Stage/Test"/>
    <tableColumn id="3" name="Evidence Type"/>
    <tableColumn id="4" name="Required?"/>
    <tableColumn id="5" name="File/Link/Location"/>
    <tableColumn id="6" name="What it proves"/>
    <tableColumn id="7" name="Status"/>
    <tableColumn id="8" name="Captured By"/>
    <tableColumn id="9" name="Date"/>
    <tableColumn id="10" name="Notes"/>
  </tableColumns>
  <tableStyleInfo name="TableStyleMedium2" showRowStripes="1"/>
</table>
</file>

<file path=xl/tables/table12.xml><?xml version="1.0" encoding="utf-8"?>
<table xmlns="http://schemas.openxmlformats.org/spreadsheetml/2006/main" id="12" name="FailureLogTable" displayName="FailureLogTable" ref="A4:L200" headerRowCount="1">
  <tableColumns count="12">
    <tableColumn id="1" name="Failure ID"/>
    <tableColumn id="2" name="Stage/Test"/>
    <tableColumn id="3" name="Severity"/>
    <tableColumn id="4" name="Blocking?"/>
    <tableColumn id="5" name="Observed Behavior"/>
    <tableColumn id="6" name="Expected Behavior"/>
    <tableColumn id="7" name="Steps to Reproduce"/>
    <tableColumn id="8" name="Evidence Ref"/>
    <tableColumn id="9" name="Likely Area"/>
    <tableColumn id="10" name="Owner"/>
    <tableColumn id="11" name="Status"/>
    <tableColumn id="12" name="Next Action"/>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_rels/sheet7.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_rels/sheet9.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c r="A1" s="42" t="inlineStr">
        <is>
          <t>Status</t>
        </is>
      </c>
      <c r="B1" s="42" t="inlineStr">
        <is>
          <t>Severity</t>
        </is>
      </c>
      <c r="C1" s="42" t="inlineStr">
        <is>
          <t>Owner</t>
        </is>
      </c>
      <c r="D1" s="42" t="inlineStr">
        <is>
          <t>YesNo</t>
        </is>
      </c>
      <c r="E1" s="42" t="inlineStr">
        <is>
          <t>EvidenceType</t>
        </is>
      </c>
      <c r="F1" s="42" t="inlineStr">
        <is>
          <t>FinalResult</t>
        </is>
      </c>
    </row>
    <row r="2">
      <c r="A2" s="43" t="inlineStr">
        <is>
          <t>PENDING</t>
        </is>
      </c>
      <c r="B2" s="43" t="inlineStr">
        <is>
          <t>Low</t>
        </is>
      </c>
      <c r="C2" s="43" t="inlineStr">
        <is>
          <t>Hardik</t>
        </is>
      </c>
      <c r="D2" s="43" t="inlineStr">
        <is>
          <t>Yes</t>
        </is>
      </c>
      <c r="E2" s="43" t="inlineStr">
        <is>
          <t>Photo</t>
        </is>
      </c>
      <c r="F2" s="43" t="inlineStr">
        <is>
          <t>PENDING</t>
        </is>
      </c>
    </row>
    <row r="3">
      <c r="A3" s="44" t="inlineStr">
        <is>
          <t>PASS</t>
        </is>
      </c>
      <c r="B3" s="44" t="inlineStr">
        <is>
          <t>Medium</t>
        </is>
      </c>
      <c r="C3" s="44" t="inlineStr">
        <is>
          <t>Manus</t>
        </is>
      </c>
      <c r="D3" s="44" t="inlineStr">
        <is>
          <t>No</t>
        </is>
      </c>
      <c r="E3" s="44" t="inlineStr">
        <is>
          <t>Video</t>
        </is>
      </c>
      <c r="F3" s="44" t="inlineStr">
        <is>
          <t>PASS</t>
        </is>
      </c>
    </row>
    <row r="4">
      <c r="A4" s="43" t="inlineStr">
        <is>
          <t>FAIL</t>
        </is>
      </c>
      <c r="B4" s="43" t="inlineStr">
        <is>
          <t>High</t>
        </is>
      </c>
      <c r="C4" s="43" t="inlineStr">
        <is>
          <t>ChatGPT</t>
        </is>
      </c>
      <c r="D4" s="43" t="inlineStr">
        <is>
          <t>N/A</t>
        </is>
      </c>
      <c r="E4" s="43" t="inlineStr">
        <is>
          <t>Screenshot</t>
        </is>
      </c>
      <c r="F4" s="43" t="inlineStr">
        <is>
          <t>FAIL</t>
        </is>
      </c>
    </row>
    <row r="5">
      <c r="A5" s="44" t="inlineStr">
        <is>
          <t>N/A</t>
        </is>
      </c>
      <c r="B5" s="44" t="inlineStr">
        <is>
          <t>Critical</t>
        </is>
      </c>
      <c r="C5" s="44" t="inlineStr">
        <is>
          <t>Hardware</t>
        </is>
      </c>
      <c r="E5" s="44" t="inlineStr">
        <is>
          <t>Serial Log</t>
        </is>
      </c>
      <c r="F5" s="44" t="inlineStr">
        <is>
          <t>CONDITIONAL PASS</t>
        </is>
      </c>
    </row>
    <row r="6">
      <c r="A6" s="43" t="inlineStr">
        <is>
          <t>RETEST REQUIRED</t>
        </is>
      </c>
      <c r="C6" s="43" t="inlineStr">
        <is>
          <t>Home Assistant</t>
        </is>
      </c>
      <c r="E6" s="43" t="inlineStr">
        <is>
          <t>HA Screenshot</t>
        </is>
      </c>
    </row>
    <row r="7">
      <c r="A7" s="44" t="inlineStr">
        <is>
          <t>BLOCKED</t>
        </is>
      </c>
      <c r="C7" s="44" t="inlineStr">
        <is>
          <t>LocalTuya</t>
        </is>
      </c>
      <c r="E7" s="44" t="inlineStr">
        <is>
          <t>ESPHome Log</t>
        </is>
      </c>
    </row>
    <row r="8">
      <c r="C8" s="43" t="inlineStr">
        <is>
          <t>Firmware</t>
        </is>
      </c>
      <c r="E8" s="43" t="inlineStr">
        <is>
          <t>Notes</t>
        </is>
      </c>
    </row>
    <row r="9">
      <c r="C9" s="44" t="inlineStr">
        <is>
          <t>Other</t>
        </is>
      </c>
      <c r="E9" s="44" t="inlineStr">
        <is>
          <t>Other</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22" customWidth="1" min="1" max="1"/>
    <col width="90" customWidth="1" min="2" max="2"/>
  </cols>
  <sheetData>
    <row r="1" ht="28" customHeight="1">
      <c r="A1" s="45" t="inlineStr">
        <is>
          <t>VelaDial E2E Field Validation Tracker</t>
        </is>
      </c>
      <c r="B1" s="45" t="n"/>
      <c r="C1" s="45" t="n"/>
      <c r="D1" s="45" t="n"/>
      <c r="E1" s="45" t="n"/>
      <c r="F1" s="45" t="n"/>
      <c r="G1" s="45" t="n"/>
      <c r="H1" s="45" t="n"/>
    </row>
    <row r="2" ht="36" customHeight="1">
      <c r="A2" s="46" t="inlineStr">
        <is>
          <t>Use this workbook while physically validating Raspberry Pi + Home Assistant + door-side ELECROW + bedside ESP32-C6. Fill Status, Actual Result, Observation, Evidence Ref, and AI Fix Needed after each step.</t>
        </is>
      </c>
      <c r="B2" s="47" t="n"/>
      <c r="C2" s="47" t="n"/>
      <c r="D2" s="47" t="n"/>
      <c r="E2" s="47" t="n"/>
      <c r="F2" s="47" t="n"/>
      <c r="G2" s="47" t="n"/>
      <c r="H2" s="47" t="n"/>
    </row>
    <row r="3">
      <c r="A3" s="48" t="n"/>
      <c r="B3" s="48" t="n"/>
      <c r="C3" s="48" t="n"/>
      <c r="D3" s="48" t="n"/>
      <c r="E3" s="48" t="n"/>
      <c r="F3" s="48" t="n"/>
      <c r="G3" s="48" t="n"/>
      <c r="H3" s="48" t="n"/>
    </row>
    <row r="4">
      <c r="A4" s="49" t="inlineStr">
        <is>
          <t>How to use</t>
        </is>
      </c>
      <c r="B4" s="49" t="inlineStr">
        <is>
          <t>1. Start at 02_Materials. 2. Complete tabs left-to-right. 3. Never mark PASS without real hardware evidence. 4. If FAIL/BLOCKED, fill Failure Log and AI Review Input.</t>
        </is>
      </c>
      <c r="C4" s="48" t="n"/>
      <c r="D4" s="48" t="n"/>
      <c r="E4" s="48" t="n"/>
      <c r="F4" s="48" t="n"/>
      <c r="G4" s="48" t="n"/>
      <c r="H4" s="48" t="n"/>
    </row>
    <row r="5">
      <c r="A5" s="49" t="inlineStr">
        <is>
          <t>Result labels</t>
        </is>
      </c>
      <c r="B5" s="49" t="inlineStr">
        <is>
          <t>PENDING = not tested, PASS = physically passed, FAIL = failed, N/A = not applicable, RETEST REQUIRED = changed/fixed and must retest, BLOCKED = cannot continue.</t>
        </is>
      </c>
      <c r="C5" s="48" t="n"/>
      <c r="D5" s="48" t="n"/>
      <c r="E5" s="48" t="n"/>
      <c r="F5" s="48" t="n"/>
      <c r="G5" s="48" t="n"/>
      <c r="H5" s="48" t="n"/>
    </row>
    <row r="6">
      <c r="A6" s="49" t="inlineStr">
        <is>
          <t>Critical gates</t>
        </is>
      </c>
      <c r="B6" s="49" t="inlineStr">
        <is>
          <t>HA reachable, light.bedroom_group works from HA, door-side boots, long-press does not toggle lights, bedside boots, full E2E path works.</t>
        </is>
      </c>
      <c r="C6" s="48" t="n"/>
      <c r="D6" s="48" t="n"/>
      <c r="E6" s="48" t="n"/>
      <c r="F6" s="48" t="n"/>
      <c r="G6" s="48" t="n"/>
      <c r="H6" s="48" t="n"/>
    </row>
    <row r="7">
      <c r="A7" s="49" t="inlineStr">
        <is>
          <t>AI handoff</t>
        </is>
      </c>
      <c r="B7" s="49" t="inlineStr">
        <is>
          <t>Use 14_AI_Review_Input after testing. Paste failures/observations to AI and ask for focused fix recommendations.</t>
        </is>
      </c>
      <c r="C7" s="48" t="n"/>
      <c r="D7" s="48" t="n"/>
      <c r="E7" s="48" t="n"/>
      <c r="F7" s="48" t="n"/>
      <c r="G7" s="48" t="n"/>
      <c r="H7" s="48" t="n"/>
    </row>
  </sheetData>
  <mergeCells count="2">
    <mergeCell ref="A2:H2"/>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28" customWidth="1" min="1" max="1"/>
    <col width="24" customWidth="1" min="2" max="2"/>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ht="28" customHeight="1">
      <c r="A1" s="45" t="inlineStr">
        <is>
          <t>VelaDial Validation Dashboard</t>
        </is>
      </c>
      <c r="B1" s="45" t="n"/>
      <c r="C1" s="45" t="n"/>
      <c r="D1" s="45" t="n"/>
      <c r="E1" s="45" t="n"/>
      <c r="F1" s="45" t="n"/>
      <c r="G1" s="45" t="n"/>
      <c r="H1" s="45" t="n"/>
      <c r="I1" s="45" t="n"/>
      <c r="J1" s="45" t="n"/>
      <c r="K1" s="45" t="n"/>
      <c r="L1" s="45" t="n"/>
    </row>
    <row r="2" ht="36" customHeight="1">
      <c r="A2" s="46" t="inlineStr">
        <is>
          <t>Automatic summary based on stage sheets. Counts update in Excel after calculation.</t>
        </is>
      </c>
      <c r="B2" s="47" t="n"/>
      <c r="C2" s="47" t="n"/>
      <c r="D2" s="47" t="n"/>
      <c r="E2" s="47" t="n"/>
      <c r="F2" s="47" t="n"/>
      <c r="G2" s="47" t="n"/>
      <c r="H2" s="47" t="n"/>
      <c r="I2" s="47" t="n"/>
      <c r="J2" s="47" t="n"/>
      <c r="K2" s="47" t="n"/>
      <c r="L2" s="47" t="n"/>
    </row>
    <row r="3">
      <c r="A3" s="48" t="n"/>
      <c r="B3" s="48" t="n"/>
      <c r="C3" s="48" t="n"/>
      <c r="D3" s="48" t="n"/>
      <c r="E3" s="48" t="n"/>
      <c r="F3" s="48" t="n"/>
      <c r="G3" s="48" t="n"/>
      <c r="H3" s="48" t="n"/>
      <c r="I3" s="48" t="n"/>
      <c r="J3" s="48" t="n"/>
      <c r="K3" s="48" t="n"/>
      <c r="L3" s="48" t="n"/>
    </row>
    <row r="4">
      <c r="A4" s="49" t="inlineStr">
        <is>
          <t>Metric</t>
        </is>
      </c>
      <c r="B4" s="49" t="inlineStr">
        <is>
          <t>Formula / Result</t>
        </is>
      </c>
      <c r="C4" s="48" t="n"/>
      <c r="D4" s="49" t="inlineStr">
        <is>
          <t>Stage</t>
        </is>
      </c>
      <c r="E4" s="49" t="inlineStr">
        <is>
          <t>Total</t>
        </is>
      </c>
      <c r="F4" s="49" t="inlineStr">
        <is>
          <t>PASS</t>
        </is>
      </c>
      <c r="G4" s="49" t="inlineStr">
        <is>
          <t>FAIL</t>
        </is>
      </c>
      <c r="H4" s="49" t="inlineStr">
        <is>
          <t>PENDING</t>
        </is>
      </c>
      <c r="I4" s="49" t="inlineStr">
        <is>
          <t>RETEST</t>
        </is>
      </c>
      <c r="J4" s="49" t="inlineStr">
        <is>
          <t>BLOCKED</t>
        </is>
      </c>
      <c r="K4" s="49" t="inlineStr">
        <is>
          <t>N/A</t>
        </is>
      </c>
      <c r="L4" s="49" t="inlineStr">
        <is>
          <t>Critical Fails</t>
        </is>
      </c>
    </row>
    <row r="5">
      <c r="A5" s="49" t="inlineStr">
        <is>
          <t>Total Checks</t>
        </is>
      </c>
      <c r="B5" s="49">
        <f>COUNTA('02_Materials'!$G$5:$G$200)+COUNTA('03_RPi_HA_Setup'!$G$5:$G$200)+COUNTA('04_HA_LocalTuya'!$G$5:$G$200)+COUNTA('05_Wiring'!$G$5:$G$200)+COUNTA('06_Door_Flash'!$G$5:$G$200)+COUNTA('07_Door_Tests'!$G$5:$G$200)+COUNTA('09_Bedside_Flash'!$G$5:$G$200)+COUNTA('10_Bedside_Tests'!$G$5:$G$200)+COUNTA('11_E2E_System'!$G$5:$G$200)+COUNTA('08_Theme_Tests'!$H$5:$H$80)</f>
        <v/>
      </c>
      <c r="C5" s="48" t="n"/>
      <c r="D5" s="49" t="inlineStr">
        <is>
          <t>02_Materials</t>
        </is>
      </c>
      <c r="E5" s="49">
        <f>COUNTA('02_Materials'!$G$5:$G$200)</f>
        <v/>
      </c>
      <c r="F5" s="49">
        <f>COUNTIF('02_Materials'!$G$5:$G$200,"PASS")</f>
        <v/>
      </c>
      <c r="G5" s="49">
        <f>COUNTIF('02_Materials'!$G$5:$G$200,"FAIL")</f>
        <v/>
      </c>
      <c r="H5" s="49">
        <f>COUNTIF('02_Materials'!$G$5:$G$200,"PENDING")</f>
        <v/>
      </c>
      <c r="I5" s="49">
        <f>COUNTIF('02_Materials'!$G$5:$G$200,"RETEST REQUIRED")</f>
        <v/>
      </c>
      <c r="J5" s="49">
        <f>COUNTIF('02_Materials'!$G$5:$G$200,"BLOCKED")</f>
        <v/>
      </c>
      <c r="K5" s="49">
        <f>COUNTIF('02_Materials'!$G$5:$G$200,"N/A")</f>
        <v/>
      </c>
      <c r="L5" s="49">
        <f>COUNTIFS('13_Failure_Log'!$C$5:$C$200,"Critical",'13_Failure_Log'!$K$5:$K$200,"&lt;&gt;PASS")</f>
        <v/>
      </c>
    </row>
    <row r="6">
      <c r="A6" s="49" t="inlineStr">
        <is>
          <t>PASS</t>
        </is>
      </c>
      <c r="B6" s="49">
        <f>COUNTIF('02_Materials'!$G$5:$G$200,"PASS")+COUNTIF('03_RPi_HA_Setup'!$G$5:$G$200,"PASS")+COUNTIF('04_HA_LocalTuya'!$G$5:$G$200,"PASS")+COUNTIF('05_Wiring'!$G$5:$G$200,"PASS")+COUNTIF('06_Door_Flash'!$G$5:$G$200,"PASS")+COUNTIF('07_Door_Tests'!$G$5:$G$200,"PASS")+COUNTIF('09_Bedside_Flash'!$G$5:$G$200,"PASS")+COUNTIF('10_Bedside_Tests'!$G$5:$G$200,"PASS")+COUNTIF('11_E2E_System'!$G$5:$G$200,"PASS")+COUNTIF('08_Theme_Tests'!$H$5:$H$80,"PASS")</f>
        <v/>
      </c>
      <c r="C6" s="48" t="n"/>
      <c r="D6" s="49" t="inlineStr">
        <is>
          <t>03_RPi_HA_Setup</t>
        </is>
      </c>
      <c r="E6" s="49">
        <f>COUNTA('03_RPi_HA_Setup'!$G$5:$G$200)</f>
        <v/>
      </c>
      <c r="F6" s="49">
        <f>COUNTIF('03_RPi_HA_Setup'!$G$5:$G$200,"PASS")</f>
        <v/>
      </c>
      <c r="G6" s="49">
        <f>COUNTIF('03_RPi_HA_Setup'!$G$5:$G$200,"FAIL")</f>
        <v/>
      </c>
      <c r="H6" s="49">
        <f>COUNTIF('03_RPi_HA_Setup'!$G$5:$G$200,"PENDING")</f>
        <v/>
      </c>
      <c r="I6" s="49">
        <f>COUNTIF('03_RPi_HA_Setup'!$G$5:$G$200,"RETEST REQUIRED")</f>
        <v/>
      </c>
      <c r="J6" s="49">
        <f>COUNTIF('03_RPi_HA_Setup'!$G$5:$G$200,"BLOCKED")</f>
        <v/>
      </c>
      <c r="K6" s="49">
        <f>COUNTIF('03_RPi_HA_Setup'!$G$5:$G$200,"N/A")</f>
        <v/>
      </c>
      <c r="L6" s="49">
        <f>COUNTIFS('13_Failure_Log'!$C$5:$C$200,"Critical",'13_Failure_Log'!$K$5:$K$200,"&lt;&gt;PASS")</f>
        <v/>
      </c>
    </row>
    <row r="7">
      <c r="A7" s="49" t="inlineStr">
        <is>
          <t>FAIL</t>
        </is>
      </c>
      <c r="B7" s="49">
        <f>COUNTIF('02_Materials'!$G$5:$G$200,"FAIL")+COUNTIF('03_RPi_HA_Setup'!$G$5:$G$200,"FAIL")+COUNTIF('04_HA_LocalTuya'!$G$5:$G$200,"FAIL")+COUNTIF('05_Wiring'!$G$5:$G$200,"FAIL")+COUNTIF('06_Door_Flash'!$G$5:$G$200,"FAIL")+COUNTIF('07_Door_Tests'!$G$5:$G$200,"FAIL")+COUNTIF('09_Bedside_Flash'!$G$5:$G$200,"FAIL")+COUNTIF('10_Bedside_Tests'!$G$5:$G$200,"FAIL")+COUNTIF('11_E2E_System'!$G$5:$G$200,"FAIL")+COUNTIF('08_Theme_Tests'!$H$5:$H$80,"FAIL")</f>
        <v/>
      </c>
      <c r="C7" s="48" t="n"/>
      <c r="D7" s="49" t="inlineStr">
        <is>
          <t>04_HA_LocalTuya</t>
        </is>
      </c>
      <c r="E7" s="49">
        <f>COUNTA('04_HA_LocalTuya'!$G$5:$G$200)</f>
        <v/>
      </c>
      <c r="F7" s="49">
        <f>COUNTIF('04_HA_LocalTuya'!$G$5:$G$200,"PASS")</f>
        <v/>
      </c>
      <c r="G7" s="49">
        <f>COUNTIF('04_HA_LocalTuya'!$G$5:$G$200,"FAIL")</f>
        <v/>
      </c>
      <c r="H7" s="49">
        <f>COUNTIF('04_HA_LocalTuya'!$G$5:$G$200,"PENDING")</f>
        <v/>
      </c>
      <c r="I7" s="49">
        <f>COUNTIF('04_HA_LocalTuya'!$G$5:$G$200,"RETEST REQUIRED")</f>
        <v/>
      </c>
      <c r="J7" s="49">
        <f>COUNTIF('04_HA_LocalTuya'!$G$5:$G$200,"BLOCKED")</f>
        <v/>
      </c>
      <c r="K7" s="49">
        <f>COUNTIF('04_HA_LocalTuya'!$G$5:$G$200,"N/A")</f>
        <v/>
      </c>
      <c r="L7" s="49">
        <f>COUNTIFS('13_Failure_Log'!$C$5:$C$200,"Critical",'13_Failure_Log'!$K$5:$K$200,"&lt;&gt;PASS")</f>
        <v/>
      </c>
    </row>
    <row r="8">
      <c r="A8" s="49" t="inlineStr">
        <is>
          <t>PENDING</t>
        </is>
      </c>
      <c r="B8" s="49">
        <f>COUNTIF('02_Materials'!$G$5:$G$200,"PENDING")+COUNTIF('03_RPi_HA_Setup'!$G$5:$G$200,"PENDING")+COUNTIF('04_HA_LocalTuya'!$G$5:$G$200,"PENDING")+COUNTIF('05_Wiring'!$G$5:$G$200,"PENDING")+COUNTIF('06_Door_Flash'!$G$5:$G$200,"PENDING")+COUNTIF('07_Door_Tests'!$G$5:$G$200,"PENDING")+COUNTIF('09_Bedside_Flash'!$G$5:$G$200,"PENDING")+COUNTIF('10_Bedside_Tests'!$G$5:$G$200,"PENDING")+COUNTIF('11_E2E_System'!$G$5:$G$200,"PENDING")+COUNTIF('08_Theme_Tests'!$H$5:$H$80,"PENDING")</f>
        <v/>
      </c>
      <c r="C8" s="48" t="n"/>
      <c r="D8" s="49" t="inlineStr">
        <is>
          <t>05_Wiring</t>
        </is>
      </c>
      <c r="E8" s="49">
        <f>COUNTA('05_Wiring'!$G$5:$G$200)</f>
        <v/>
      </c>
      <c r="F8" s="49">
        <f>COUNTIF('05_Wiring'!$G$5:$G$200,"PASS")</f>
        <v/>
      </c>
      <c r="G8" s="49">
        <f>COUNTIF('05_Wiring'!$G$5:$G$200,"FAIL")</f>
        <v/>
      </c>
      <c r="H8" s="49">
        <f>COUNTIF('05_Wiring'!$G$5:$G$200,"PENDING")</f>
        <v/>
      </c>
      <c r="I8" s="49">
        <f>COUNTIF('05_Wiring'!$G$5:$G$200,"RETEST REQUIRED")</f>
        <v/>
      </c>
      <c r="J8" s="49">
        <f>COUNTIF('05_Wiring'!$G$5:$G$200,"BLOCKED")</f>
        <v/>
      </c>
      <c r="K8" s="49">
        <f>COUNTIF('05_Wiring'!$G$5:$G$200,"N/A")</f>
        <v/>
      </c>
      <c r="L8" s="49">
        <f>COUNTIFS('13_Failure_Log'!$C$5:$C$200,"Critical",'13_Failure_Log'!$K$5:$K$200,"&lt;&gt;PASS")</f>
        <v/>
      </c>
    </row>
    <row r="9">
      <c r="A9" s="49" t="inlineStr">
        <is>
          <t>RETEST REQUIRED</t>
        </is>
      </c>
      <c r="B9" s="49">
        <f>COUNTIF('02_Materials'!$G$5:$G$200,"RETEST REQUIRED")+COUNTIF('03_RPi_HA_Setup'!$G$5:$G$200,"RETEST REQUIRED")+COUNTIF('04_HA_LocalTuya'!$G$5:$G$200,"RETEST REQUIRED")+COUNTIF('05_Wiring'!$G$5:$G$200,"RETEST REQUIRED")+COUNTIF('06_Door_Flash'!$G$5:$G$200,"RETEST REQUIRED")+COUNTIF('07_Door_Tests'!$G$5:$G$200,"RETEST REQUIRED")+COUNTIF('09_Bedside_Flash'!$G$5:$G$200,"RETEST REQUIRED")+COUNTIF('10_Bedside_Tests'!$G$5:$G$200,"RETEST REQUIRED")+COUNTIF('11_E2E_System'!$G$5:$G$200,"RETEST REQUIRED")+COUNTIF('08_Theme_Tests'!$H$5:$H$80,"RETEST REQUIRED")</f>
        <v/>
      </c>
      <c r="C9" s="48" t="n"/>
      <c r="D9" s="49" t="inlineStr">
        <is>
          <t>06_Door_Flash</t>
        </is>
      </c>
      <c r="E9" s="49">
        <f>COUNTA('06_Door_Flash'!$G$5:$G$200)</f>
        <v/>
      </c>
      <c r="F9" s="49">
        <f>COUNTIF('06_Door_Flash'!$G$5:$G$200,"PASS")</f>
        <v/>
      </c>
      <c r="G9" s="49">
        <f>COUNTIF('06_Door_Flash'!$G$5:$G$200,"FAIL")</f>
        <v/>
      </c>
      <c r="H9" s="49">
        <f>COUNTIF('06_Door_Flash'!$G$5:$G$200,"PENDING")</f>
        <v/>
      </c>
      <c r="I9" s="49">
        <f>COUNTIF('06_Door_Flash'!$G$5:$G$200,"RETEST REQUIRED")</f>
        <v/>
      </c>
      <c r="J9" s="49">
        <f>COUNTIF('06_Door_Flash'!$G$5:$G$200,"BLOCKED")</f>
        <v/>
      </c>
      <c r="K9" s="49">
        <f>COUNTIF('06_Door_Flash'!$G$5:$G$200,"N/A")</f>
        <v/>
      </c>
      <c r="L9" s="49">
        <f>COUNTIFS('13_Failure_Log'!$C$5:$C$200,"Critical",'13_Failure_Log'!$K$5:$K$200,"&lt;&gt;PASS")</f>
        <v/>
      </c>
    </row>
    <row r="10">
      <c r="A10" s="49" t="inlineStr">
        <is>
          <t>BLOCKED</t>
        </is>
      </c>
      <c r="B10" s="49">
        <f>COUNTIF('02_Materials'!$G$5:$G$200,"BLOCKED")+COUNTIF('03_RPi_HA_Setup'!$G$5:$G$200,"BLOCKED")+COUNTIF('04_HA_LocalTuya'!$G$5:$G$200,"BLOCKED")+COUNTIF('05_Wiring'!$G$5:$G$200,"BLOCKED")+COUNTIF('06_Door_Flash'!$G$5:$G$200,"BLOCKED")+COUNTIF('07_Door_Tests'!$G$5:$G$200,"BLOCKED")+COUNTIF('09_Bedside_Flash'!$G$5:$G$200,"BLOCKED")+COUNTIF('10_Bedside_Tests'!$G$5:$G$200,"BLOCKED")+COUNTIF('11_E2E_System'!$G$5:$G$200,"BLOCKED")+COUNTIF('08_Theme_Tests'!$H$5:$H$80,"BLOCKED")</f>
        <v/>
      </c>
      <c r="C10" s="48" t="n"/>
      <c r="D10" s="49" t="inlineStr">
        <is>
          <t>07_Door_Tests</t>
        </is>
      </c>
      <c r="E10" s="49">
        <f>COUNTA('07_Door_Tests'!$G$5:$G$200)</f>
        <v/>
      </c>
      <c r="F10" s="49">
        <f>COUNTIF('07_Door_Tests'!$G$5:$G$200,"PASS")</f>
        <v/>
      </c>
      <c r="G10" s="49">
        <f>COUNTIF('07_Door_Tests'!$G$5:$G$200,"FAIL")</f>
        <v/>
      </c>
      <c r="H10" s="49">
        <f>COUNTIF('07_Door_Tests'!$G$5:$G$200,"PENDING")</f>
        <v/>
      </c>
      <c r="I10" s="49">
        <f>COUNTIF('07_Door_Tests'!$G$5:$G$200,"RETEST REQUIRED")</f>
        <v/>
      </c>
      <c r="J10" s="49">
        <f>COUNTIF('07_Door_Tests'!$G$5:$G$200,"BLOCKED")</f>
        <v/>
      </c>
      <c r="K10" s="49">
        <f>COUNTIF('07_Door_Tests'!$G$5:$G$200,"N/A")</f>
        <v/>
      </c>
      <c r="L10" s="49">
        <f>COUNTIFS('13_Failure_Log'!$C$5:$C$200,"Critical",'13_Failure_Log'!$K$5:$K$200,"&lt;&gt;PASS")</f>
        <v/>
      </c>
    </row>
    <row r="11">
      <c r="A11" s="49" t="inlineStr">
        <is>
          <t>N/A</t>
        </is>
      </c>
      <c r="B11" s="49">
        <f>COUNTIF('02_Materials'!$G$5:$G$200,"N/A")+COUNTIF('03_RPi_HA_Setup'!$G$5:$G$200,"N/A")+COUNTIF('04_HA_LocalTuya'!$G$5:$G$200,"N/A")+COUNTIF('05_Wiring'!$G$5:$G$200,"N/A")+COUNTIF('06_Door_Flash'!$G$5:$G$200,"N/A")+COUNTIF('07_Door_Tests'!$G$5:$G$200,"N/A")+COUNTIF('09_Bedside_Flash'!$G$5:$G$200,"N/A")+COUNTIF('10_Bedside_Tests'!$G$5:$G$200,"N/A")+COUNTIF('11_E2E_System'!$G$5:$G$200,"N/A")+COUNTIF('08_Theme_Tests'!$H$5:$H$80,"N/A")</f>
        <v/>
      </c>
      <c r="C11" s="48" t="n"/>
      <c r="D11" s="49" t="inlineStr">
        <is>
          <t>08_Theme_Tests</t>
        </is>
      </c>
      <c r="E11" s="49">
        <f>COUNTA('08_Theme_Tests'!$H$5:$H$80)</f>
        <v/>
      </c>
      <c r="F11" s="49">
        <f>COUNTIF('08_Theme_Tests'!$H$5:$H$80,"PASS")</f>
        <v/>
      </c>
      <c r="G11" s="49">
        <f>COUNTIF('08_Theme_Tests'!$H$5:$H$80,"FAIL")</f>
        <v/>
      </c>
      <c r="H11" s="49">
        <f>COUNTIF('08_Theme_Tests'!$H$5:$H$80,"PENDING")</f>
        <v/>
      </c>
      <c r="I11" s="49">
        <f>COUNTIF('08_Theme_Tests'!$H$5:$H$80,"RETEST REQUIRED")</f>
        <v/>
      </c>
      <c r="J11" s="49">
        <f>COUNTIF('08_Theme_Tests'!$H$5:$H$80,"BLOCKED")</f>
        <v/>
      </c>
      <c r="K11" s="49">
        <f>COUNTIF('08_Theme_Tests'!$H$5:$H$80,"N/A")</f>
        <v/>
      </c>
      <c r="L11" s="49">
        <f>COUNTIFS('13_Failure_Log'!$C$5:$C$200,"Critical",'13_Failure_Log'!$K$5:$K$200,"&lt;&gt;PASS")</f>
        <v/>
      </c>
    </row>
    <row r="12">
      <c r="A12" s="49" t="inlineStr">
        <is>
          <t>Critical Failures</t>
        </is>
      </c>
      <c r="B12" s="49">
        <f>COUNTIFS('13_Failure_Log'!$C$5:$C$200,"Critical",'13_Failure_Log'!$K$5:$K$200,"&lt;&gt;PASS")</f>
        <v/>
      </c>
      <c r="C12" s="48" t="n"/>
      <c r="D12" s="49" t="inlineStr">
        <is>
          <t>09_Bedside_Flash</t>
        </is>
      </c>
      <c r="E12" s="49">
        <f>COUNTA('09_Bedside_Flash'!$G$5:$G$200)</f>
        <v/>
      </c>
      <c r="F12" s="49">
        <f>COUNTIF('09_Bedside_Flash'!$G$5:$G$200,"PASS")</f>
        <v/>
      </c>
      <c r="G12" s="49">
        <f>COUNTIF('09_Bedside_Flash'!$G$5:$G$200,"FAIL")</f>
        <v/>
      </c>
      <c r="H12" s="49">
        <f>COUNTIF('09_Bedside_Flash'!$G$5:$G$200,"PENDING")</f>
        <v/>
      </c>
      <c r="I12" s="49">
        <f>COUNTIF('09_Bedside_Flash'!$G$5:$G$200,"RETEST REQUIRED")</f>
        <v/>
      </c>
      <c r="J12" s="49">
        <f>COUNTIF('09_Bedside_Flash'!$G$5:$G$200,"BLOCKED")</f>
        <v/>
      </c>
      <c r="K12" s="49">
        <f>COUNTIF('09_Bedside_Flash'!$G$5:$G$200,"N/A")</f>
        <v/>
      </c>
      <c r="L12" s="49">
        <f>COUNTIFS('13_Failure_Log'!$C$5:$C$200,"Critical",'13_Failure_Log'!$K$5:$K$200,"&lt;&gt;PASS")</f>
        <v/>
      </c>
    </row>
    <row r="13">
      <c r="A13" s="49" t="inlineStr">
        <is>
          <t>AI Fix Needed = Yes</t>
        </is>
      </c>
      <c r="B13" s="49">
        <f>COUNTIF('02_Materials'!$N$5:$N$200,"Yes")+COUNTIF('03_RPi_HA_Setup'!$N$5:$N$200,"Yes")+COUNTIF('04_HA_LocalTuya'!$N$5:$N$200,"Yes")+COUNTIF('05_Wiring'!$N$5:$N$200,"Yes")+COUNTIF('06_Door_Flash'!$N$5:$N$200,"Yes")+COUNTIF('07_Door_Tests'!$N$5:$N$200,"Yes")+COUNTIF('09_Bedside_Flash'!$N$5:$N$200,"Yes")+COUNTIF('10_Bedside_Tests'!$N$5:$N$200,"Yes")+COUNTIF('11_E2E_System'!$N$5:$N$200,"Yes")+COUNTIF('08_Theme_Tests'!$K$5:$K$80,"Yes")</f>
        <v/>
      </c>
      <c r="C13" s="48" t="n"/>
      <c r="D13" s="49" t="inlineStr">
        <is>
          <t>10_Bedside_Tests</t>
        </is>
      </c>
      <c r="E13" s="49">
        <f>COUNTA('10_Bedside_Tests'!$G$5:$G$200)</f>
        <v/>
      </c>
      <c r="F13" s="49">
        <f>COUNTIF('10_Bedside_Tests'!$G$5:$G$200,"PASS")</f>
        <v/>
      </c>
      <c r="G13" s="49">
        <f>COUNTIF('10_Bedside_Tests'!$G$5:$G$200,"FAIL")</f>
        <v/>
      </c>
      <c r="H13" s="49">
        <f>COUNTIF('10_Bedside_Tests'!$G$5:$G$200,"PENDING")</f>
        <v/>
      </c>
      <c r="I13" s="49">
        <f>COUNTIF('10_Bedside_Tests'!$G$5:$G$200,"RETEST REQUIRED")</f>
        <v/>
      </c>
      <c r="J13" s="49">
        <f>COUNTIF('10_Bedside_Tests'!$G$5:$G$200,"BLOCKED")</f>
        <v/>
      </c>
      <c r="K13" s="49">
        <f>COUNTIF('10_Bedside_Tests'!$G$5:$G$200,"N/A")</f>
        <v/>
      </c>
      <c r="L13" s="49">
        <f>COUNTIFS('13_Failure_Log'!$C$5:$C$200,"Critical",'13_Failure_Log'!$K$5:$K$200,"&lt;&gt;PASS")</f>
        <v/>
      </c>
    </row>
    <row r="14">
      <c r="A14" s="48" t="n"/>
      <c r="B14" s="48" t="n"/>
      <c r="C14" s="48" t="n"/>
      <c r="D14" s="49" t="inlineStr">
        <is>
          <t>11_E2E_System</t>
        </is>
      </c>
      <c r="E14" s="49">
        <f>COUNTA('11_E2E_System'!$G$5:$G$200)</f>
        <v/>
      </c>
      <c r="F14" s="49">
        <f>COUNTIF('11_E2E_System'!$G$5:$G$200,"PASS")</f>
        <v/>
      </c>
      <c r="G14" s="49">
        <f>COUNTIF('11_E2E_System'!$G$5:$G$200,"FAIL")</f>
        <v/>
      </c>
      <c r="H14" s="49">
        <f>COUNTIF('11_E2E_System'!$G$5:$G$200,"PENDING")</f>
        <v/>
      </c>
      <c r="I14" s="49">
        <f>COUNTIF('11_E2E_System'!$G$5:$G$200,"RETEST REQUIRED")</f>
        <v/>
      </c>
      <c r="J14" s="49">
        <f>COUNTIF('11_E2E_System'!$G$5:$G$200,"BLOCKED")</f>
        <v/>
      </c>
      <c r="K14" s="49">
        <f>COUNTIF('11_E2E_System'!$G$5:$G$200,"N/A")</f>
        <v/>
      </c>
      <c r="L14" s="49">
        <f>COUNTIFS('13_Failure_Log'!$C$5:$C$200,"Critical",'13_Failure_Log'!$K$5:$K$200,"&lt;&gt;PASS")</f>
        <v/>
      </c>
    </row>
    <row r="15">
      <c r="A15" s="48" t="n"/>
      <c r="B15" s="48" t="n"/>
      <c r="C15" s="48" t="n"/>
      <c r="D15" s="48" t="n"/>
      <c r="E15" s="48" t="n"/>
      <c r="F15" s="48" t="n"/>
      <c r="G15" s="48" t="n"/>
      <c r="H15" s="48" t="n"/>
      <c r="I15" s="48" t="n"/>
      <c r="J15" s="48" t="n"/>
      <c r="K15" s="48" t="n"/>
      <c r="L15" s="48" t="n"/>
    </row>
    <row r="16">
      <c r="A16" s="48" t="n"/>
      <c r="B16" s="48" t="n"/>
      <c r="C16" s="48" t="n"/>
      <c r="D16" s="48" t="n"/>
      <c r="E16" s="48" t="n"/>
      <c r="F16" s="48" t="n"/>
      <c r="G16" s="48" t="n"/>
      <c r="H16" s="48" t="n"/>
      <c r="I16" s="48" t="n"/>
      <c r="J16" s="48" t="n"/>
      <c r="K16" s="48" t="n"/>
      <c r="L16" s="48" t="n"/>
    </row>
    <row r="17">
      <c r="A17" s="48" t="n"/>
      <c r="B17" s="48" t="n"/>
      <c r="C17" s="48" t="n"/>
      <c r="D17" s="48" t="n"/>
      <c r="E17" s="48" t="n"/>
      <c r="F17" s="48" t="n"/>
      <c r="G17" s="48" t="n"/>
      <c r="H17" s="48" t="n"/>
      <c r="I17" s="48" t="n"/>
      <c r="J17" s="48" t="n"/>
      <c r="K17" s="48" t="n"/>
      <c r="L17" s="48" t="n"/>
    </row>
    <row r="18">
      <c r="A18" s="48" t="n"/>
      <c r="B18" s="48" t="n"/>
      <c r="C18" s="48" t="n"/>
      <c r="D18" s="48" t="n"/>
      <c r="E18" s="48" t="n"/>
      <c r="F18" s="48" t="n"/>
      <c r="G18" s="48" t="n"/>
      <c r="H18" s="48" t="n"/>
      <c r="I18" s="48" t="n"/>
      <c r="J18" s="48" t="n"/>
      <c r="K18" s="48" t="n"/>
      <c r="L18" s="48" t="n"/>
    </row>
    <row r="19">
      <c r="A19" s="48" t="n"/>
      <c r="B19" s="48" t="n"/>
      <c r="C19" s="48" t="n"/>
      <c r="D19" s="48" t="n"/>
      <c r="E19" s="48" t="n"/>
      <c r="F19" s="48" t="n"/>
      <c r="G19" s="48" t="n"/>
      <c r="H19" s="48" t="n"/>
      <c r="I19" s="48" t="n"/>
      <c r="J19" s="48" t="n"/>
      <c r="K19" s="48" t="n"/>
      <c r="L19" s="48" t="n"/>
    </row>
    <row r="20">
      <c r="A20" s="48" t="n"/>
      <c r="B20" s="48" t="n"/>
      <c r="C20" s="48" t="n"/>
      <c r="D20" s="48" t="n"/>
      <c r="E20" s="48" t="n"/>
      <c r="F20" s="48" t="n"/>
      <c r="G20" s="48" t="n"/>
      <c r="H20" s="48" t="n"/>
      <c r="I20" s="48" t="n"/>
      <c r="J20" s="48" t="n"/>
      <c r="K20" s="48" t="n"/>
      <c r="L20" s="48" t="n"/>
    </row>
    <row r="21">
      <c r="A21" s="48" t="n"/>
      <c r="B21" s="48" t="n"/>
      <c r="C21" s="48" t="n"/>
      <c r="D21" s="48" t="n"/>
      <c r="E21" s="48" t="n"/>
      <c r="F21" s="48" t="n"/>
      <c r="G21" s="48" t="n"/>
      <c r="H21" s="48" t="n"/>
      <c r="I21" s="48" t="n"/>
      <c r="J21" s="48" t="n"/>
      <c r="K21" s="48" t="n"/>
      <c r="L21" s="48" t="n"/>
    </row>
    <row r="22">
      <c r="A22" s="48" t="n"/>
      <c r="B22" s="48" t="n"/>
      <c r="C22" s="48" t="n"/>
      <c r="D22" s="48" t="n"/>
      <c r="E22" s="48" t="n"/>
      <c r="F22" s="48" t="n"/>
      <c r="G22" s="48" t="n"/>
      <c r="H22" s="48" t="n"/>
      <c r="I22" s="48" t="n"/>
      <c r="J22" s="48" t="n"/>
      <c r="K22" s="48" t="n"/>
      <c r="L22" s="48" t="n"/>
    </row>
    <row r="23">
      <c r="A23" s="48" t="n"/>
      <c r="B23" s="48" t="n"/>
      <c r="C23" s="48" t="n"/>
      <c r="D23" s="48" t="n"/>
      <c r="E23" s="48" t="n"/>
      <c r="F23" s="48" t="n"/>
      <c r="G23" s="48" t="n"/>
      <c r="H23" s="48" t="n"/>
      <c r="I23" s="48" t="n"/>
      <c r="J23" s="48" t="n"/>
      <c r="K23" s="48" t="n"/>
      <c r="L23" s="48" t="n"/>
    </row>
    <row r="24">
      <c r="A24" s="48" t="n"/>
      <c r="B24" s="48" t="n"/>
      <c r="C24" s="48" t="n"/>
      <c r="D24" s="48" t="n"/>
      <c r="E24" s="48" t="n"/>
      <c r="F24" s="48" t="n"/>
      <c r="G24" s="48" t="n"/>
      <c r="H24" s="48" t="n"/>
      <c r="I24" s="48" t="n"/>
      <c r="J24" s="48" t="n"/>
      <c r="K24" s="48" t="n"/>
      <c r="L24" s="48" t="n"/>
    </row>
    <row r="25">
      <c r="A25" s="48" t="n"/>
      <c r="B25" s="48" t="n"/>
      <c r="C25" s="48" t="n"/>
      <c r="D25" s="48" t="n"/>
      <c r="E25" s="48" t="n"/>
      <c r="F25" s="48" t="n"/>
      <c r="G25" s="48" t="n"/>
      <c r="H25" s="48" t="n"/>
      <c r="I25" s="48" t="n"/>
      <c r="J25" s="48" t="n"/>
      <c r="K25" s="48" t="n"/>
      <c r="L25" s="48" t="n"/>
    </row>
    <row r="26">
      <c r="A26" s="48" t="n"/>
      <c r="B26" s="48" t="n"/>
      <c r="C26" s="48" t="n"/>
      <c r="D26" s="48" t="n"/>
      <c r="E26" s="48" t="n"/>
      <c r="F26" s="48" t="n"/>
      <c r="G26" s="48" t="n"/>
      <c r="H26" s="48" t="n"/>
      <c r="I26" s="48" t="n"/>
      <c r="J26" s="48" t="n"/>
      <c r="K26" s="48" t="n"/>
      <c r="L26" s="48" t="n"/>
    </row>
    <row r="27">
      <c r="A27" s="48" t="n"/>
      <c r="B27" s="48" t="n"/>
      <c r="C27" s="48" t="n"/>
      <c r="D27" s="48" t="n"/>
      <c r="E27" s="48" t="n"/>
      <c r="F27" s="48" t="n"/>
      <c r="G27" s="48" t="n"/>
      <c r="H27" s="48" t="n"/>
      <c r="I27" s="48" t="n"/>
      <c r="J27" s="48" t="n"/>
      <c r="K27" s="48" t="n"/>
      <c r="L27" s="48" t="n"/>
    </row>
    <row r="28">
      <c r="A28" s="48" t="n"/>
      <c r="B28" s="48" t="n"/>
      <c r="C28" s="48" t="n"/>
      <c r="D28" s="48" t="n"/>
      <c r="E28" s="48" t="n"/>
      <c r="F28" s="48" t="n"/>
      <c r="G28" s="48" t="n"/>
      <c r="H28" s="48" t="n"/>
      <c r="I28" s="48" t="n"/>
      <c r="J28" s="48" t="n"/>
      <c r="K28" s="48" t="n"/>
      <c r="L28" s="48" t="n"/>
    </row>
    <row r="29">
      <c r="A29" s="48" t="n"/>
      <c r="B29" s="48" t="n"/>
      <c r="C29" s="48" t="n"/>
      <c r="D29" s="48" t="n"/>
      <c r="E29" s="48" t="n"/>
      <c r="F29" s="48" t="n"/>
      <c r="G29" s="48" t="n"/>
      <c r="H29" s="48" t="n"/>
      <c r="I29" s="48" t="n"/>
      <c r="J29" s="48" t="n"/>
      <c r="K29" s="48" t="n"/>
      <c r="L29" s="48" t="n"/>
    </row>
    <row r="30">
      <c r="A30" s="48" t="n"/>
      <c r="B30" s="48" t="n"/>
      <c r="C30" s="48" t="n"/>
      <c r="D30" s="48" t="n"/>
      <c r="E30" s="48" t="n"/>
      <c r="F30" s="48" t="n"/>
      <c r="G30" s="48" t="n"/>
      <c r="H30" s="48" t="n"/>
      <c r="I30" s="48" t="n"/>
      <c r="J30" s="48" t="n"/>
      <c r="K30" s="48" t="n"/>
      <c r="L30" s="48" t="n"/>
    </row>
  </sheetData>
  <mergeCells count="2">
    <mergeCell ref="A2:L2"/>
    <mergeCell ref="A1:L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120"/>
  <sheetViews>
    <sheetView workbookViewId="0">
      <pane ySplit="4" topLeftCell="A5" activePane="bottomLeft" state="frozen"/>
      <selection pane="bottomLeft" activeCell="A1" sqref="A1"/>
    </sheetView>
  </sheetViews>
  <sheetFormatPr baseColWidth="8" defaultRowHeight="15"/>
  <cols>
    <col width="9" customWidth="1" min="1" max="1"/>
    <col width="21" customWidth="1" min="2" max="2"/>
    <col width="13" customWidth="1" min="3" max="3"/>
    <col width="35" customWidth="1" min="4" max="4"/>
    <col width="40" customWidth="1" min="5" max="5"/>
    <col width="35" customWidth="1" min="6" max="6"/>
    <col width="9" customWidth="1" min="7" max="7"/>
    <col width="15" customWidth="1" min="8" max="8"/>
    <col width="13" customWidth="1" min="9" max="9"/>
    <col width="14" customWidth="1" min="10" max="10"/>
    <col width="10" customWidth="1" min="11" max="11"/>
    <col width="10" customWidth="1" min="12" max="12"/>
    <col width="11" customWidth="1" min="13" max="13"/>
    <col width="16" customWidth="1" min="14" max="14"/>
    <col width="13" customWidth="1" min="15" max="15"/>
  </cols>
  <sheetData>
    <row r="1" ht="28" customHeight="1">
      <c r="A1" s="50" t="inlineStr">
        <is>
          <t>Stage 0 — Required Hardware and Materials</t>
        </is>
      </c>
      <c r="B1" s="51" t="n"/>
      <c r="C1" s="51" t="n"/>
      <c r="D1" s="51" t="n"/>
      <c r="E1" s="51" t="n"/>
      <c r="F1" s="51" t="n"/>
      <c r="G1" s="51" t="n"/>
      <c r="H1" s="51" t="n"/>
      <c r="I1" s="51" t="n"/>
      <c r="J1" s="51" t="n"/>
      <c r="K1" s="51" t="n"/>
      <c r="L1" s="51" t="n"/>
      <c r="M1" s="51" t="n"/>
      <c r="N1" s="51" t="n"/>
      <c r="O1" s="51" t="n"/>
    </row>
    <row r="2" ht="36" customHeight="1">
      <c r="A2" s="52" t="inlineStr">
        <is>
          <t>Confirm all physical items and credentials before starting setup.</t>
        </is>
      </c>
      <c r="B2" s="53" t="n"/>
      <c r="C2" s="53" t="n"/>
      <c r="D2" s="53" t="n"/>
      <c r="E2" s="53" t="n"/>
      <c r="F2" s="53" t="n"/>
      <c r="G2" s="53" t="n"/>
      <c r="H2" s="53" t="n"/>
      <c r="I2" s="53" t="n"/>
      <c r="J2" s="53" t="n"/>
      <c r="K2" s="53" t="n"/>
      <c r="L2" s="53" t="n"/>
      <c r="M2" s="53" t="n"/>
      <c r="N2" s="53" t="n"/>
      <c r="O2" s="53" t="n"/>
    </row>
    <row r="4" ht="36" customHeight="1">
      <c r="A4" s="42" t="inlineStr">
        <is>
          <t>Step ID</t>
        </is>
      </c>
      <c r="B4" s="42" t="inlineStr">
        <is>
          <t>Stage</t>
        </is>
      </c>
      <c r="C4" s="42" t="inlineStr">
        <is>
          <t>Category</t>
        </is>
      </c>
      <c r="D4" s="42" t="inlineStr">
        <is>
          <t>Step / Test</t>
        </is>
      </c>
      <c r="E4" s="42" t="inlineStr">
        <is>
          <t>Command / Action</t>
        </is>
      </c>
      <c r="F4" s="42" t="inlineStr">
        <is>
          <t>Expected Result</t>
        </is>
      </c>
      <c r="G4" s="42" t="inlineStr">
        <is>
          <t>Status</t>
        </is>
      </c>
      <c r="H4" s="42" t="inlineStr">
        <is>
          <t>Actual Result</t>
        </is>
      </c>
      <c r="I4" s="42" t="inlineStr">
        <is>
          <t>Observation</t>
        </is>
      </c>
      <c r="J4" s="42" t="inlineStr">
        <is>
          <t>Evidence Ref</t>
        </is>
      </c>
      <c r="K4" s="42" t="inlineStr">
        <is>
          <t>Severity</t>
        </is>
      </c>
      <c r="L4" s="42" t="inlineStr">
        <is>
          <t>Owner</t>
        </is>
      </c>
      <c r="M4" s="42" t="inlineStr">
        <is>
          <t>Blocking?</t>
        </is>
      </c>
      <c r="N4" s="42" t="inlineStr">
        <is>
          <t>AI Fix Needed?</t>
        </is>
      </c>
      <c r="O4" s="42" t="inlineStr">
        <is>
          <t>Next Action</t>
        </is>
      </c>
    </row>
    <row r="5">
      <c r="A5" s="54" t="inlineStr">
        <is>
          <t>MAT-01</t>
        </is>
      </c>
      <c r="B5" s="44" t="inlineStr">
        <is>
          <t>Stage 0 — Materials</t>
        </is>
      </c>
      <c r="C5" s="44" t="inlineStr">
        <is>
          <t>Hardware</t>
        </is>
      </c>
      <c r="D5" s="44" t="inlineStr">
        <is>
          <t>Raspberry Pi available</t>
        </is>
      </c>
      <c r="E5" s="44" t="inlineStr">
        <is>
          <t>Confirm model, power supply, microSD</t>
        </is>
      </c>
      <c r="F5" s="44" t="inlineStr">
        <is>
          <t>Pi and accessories ready</t>
        </is>
      </c>
      <c r="G5" s="55" t="inlineStr">
        <is>
          <t>PENDING</t>
        </is>
      </c>
      <c r="H5" s="44" t="str"/>
      <c r="I5" s="44" t="str"/>
      <c r="J5" s="44" t="str"/>
      <c r="K5" s="56" t="inlineStr">
        <is>
          <t>High</t>
        </is>
      </c>
      <c r="L5" s="44" t="inlineStr">
        <is>
          <t>Hardik</t>
        </is>
      </c>
      <c r="M5" s="44" t="inlineStr">
        <is>
          <t>Yes</t>
        </is>
      </c>
      <c r="N5" s="44" t="inlineStr">
        <is>
          <t>No</t>
        </is>
      </c>
      <c r="O5" s="44" t="str"/>
    </row>
    <row r="6">
      <c r="A6" s="57" t="inlineStr">
        <is>
          <t>MAT-02</t>
        </is>
      </c>
      <c r="B6" s="43" t="inlineStr">
        <is>
          <t>Stage 0 — Materials</t>
        </is>
      </c>
      <c r="C6" s="43" t="inlineStr">
        <is>
          <t>Hardware</t>
        </is>
      </c>
      <c r="D6" s="43" t="inlineStr">
        <is>
          <t>ELECROW door-side board available</t>
        </is>
      </c>
      <c r="E6" s="43" t="inlineStr">
        <is>
          <t>Confirm board revision and USB cable</t>
        </is>
      </c>
      <c r="F6" s="43" t="inlineStr">
        <is>
          <t>Board ready for flash</t>
        </is>
      </c>
      <c r="G6" s="55" t="inlineStr">
        <is>
          <t>PENDING</t>
        </is>
      </c>
      <c r="H6" s="43" t="str"/>
      <c r="I6" s="43" t="str"/>
      <c r="J6" s="43" t="str"/>
      <c r="K6" s="58" t="inlineStr">
        <is>
          <t>High</t>
        </is>
      </c>
      <c r="L6" s="43" t="inlineStr">
        <is>
          <t>Hardik</t>
        </is>
      </c>
      <c r="M6" s="43" t="inlineStr">
        <is>
          <t>Yes</t>
        </is>
      </c>
      <c r="N6" s="43" t="inlineStr">
        <is>
          <t>No</t>
        </is>
      </c>
      <c r="O6" s="43" t="str"/>
    </row>
    <row r="7">
      <c r="A7" s="54" t="inlineStr">
        <is>
          <t>MAT-03</t>
        </is>
      </c>
      <c r="B7" s="44" t="inlineStr">
        <is>
          <t>Stage 0 — Materials</t>
        </is>
      </c>
      <c r="C7" s="44" t="inlineStr">
        <is>
          <t>Hardware</t>
        </is>
      </c>
      <c r="D7" s="44" t="inlineStr">
        <is>
          <t>ESP32-C6 bedside board available</t>
        </is>
      </c>
      <c r="E7" s="44" t="inlineStr">
        <is>
          <t>Confirm board and USB cable</t>
        </is>
      </c>
      <c r="F7" s="44" t="inlineStr">
        <is>
          <t>Board ready for flash</t>
        </is>
      </c>
      <c r="G7" s="55" t="inlineStr">
        <is>
          <t>PENDING</t>
        </is>
      </c>
      <c r="H7" s="44" t="str"/>
      <c r="I7" s="44" t="str"/>
      <c r="J7" s="44" t="str"/>
      <c r="K7" s="56" t="inlineStr">
        <is>
          <t>High</t>
        </is>
      </c>
      <c r="L7" s="44" t="inlineStr">
        <is>
          <t>Hardik</t>
        </is>
      </c>
      <c r="M7" s="44" t="inlineStr">
        <is>
          <t>Yes</t>
        </is>
      </c>
      <c r="N7" s="44" t="inlineStr">
        <is>
          <t>No</t>
        </is>
      </c>
      <c r="O7" s="44" t="str"/>
    </row>
    <row r="8">
      <c r="A8" s="57" t="inlineStr">
        <is>
          <t>MAT-04</t>
        </is>
      </c>
      <c r="B8" s="43" t="inlineStr">
        <is>
          <t>Stage 0 — Materials</t>
        </is>
      </c>
      <c r="C8" s="43" t="inlineStr">
        <is>
          <t>Hardware</t>
        </is>
      </c>
      <c r="D8" s="43" t="inlineStr">
        <is>
          <t>APDS-9960 connected</t>
        </is>
      </c>
      <c r="E8" s="43" t="inlineStr">
        <is>
          <t>Inspect STEMMA/Qwiic or wiring</t>
        </is>
      </c>
      <c r="F8" s="43" t="inlineStr">
        <is>
          <t>Gesture sensor connected</t>
        </is>
      </c>
      <c r="G8" s="55" t="inlineStr">
        <is>
          <t>PENDING</t>
        </is>
      </c>
      <c r="H8" s="43" t="str"/>
      <c r="I8" s="43" t="str"/>
      <c r="J8" s="43" t="str"/>
      <c r="K8" s="58" t="inlineStr">
        <is>
          <t>High</t>
        </is>
      </c>
      <c r="L8" s="43" t="inlineStr">
        <is>
          <t>Hardware</t>
        </is>
      </c>
      <c r="M8" s="43" t="inlineStr">
        <is>
          <t>Yes</t>
        </is>
      </c>
      <c r="N8" s="43" t="inlineStr">
        <is>
          <t>No</t>
        </is>
      </c>
      <c r="O8" s="43" t="str"/>
    </row>
    <row r="9">
      <c r="A9" s="54" t="inlineStr">
        <is>
          <t>MAT-05</t>
        </is>
      </c>
      <c r="B9" s="44" t="inlineStr">
        <is>
          <t>Stage 0 — Materials</t>
        </is>
      </c>
      <c r="C9" s="44" t="inlineStr">
        <is>
          <t>Lighting</t>
        </is>
      </c>
      <c r="D9" s="44" t="inlineStr">
        <is>
          <t>Bedroom bulbs ready</t>
        </is>
      </c>
      <c r="E9" s="44" t="inlineStr">
        <is>
          <t>Confirm bulbs powered and reachable</t>
        </is>
      </c>
      <c r="F9" s="44" t="inlineStr">
        <is>
          <t>Bulbs ready for HA setup</t>
        </is>
      </c>
      <c r="G9" s="55" t="inlineStr">
        <is>
          <t>PENDING</t>
        </is>
      </c>
      <c r="H9" s="44" t="str"/>
      <c r="I9" s="44" t="str"/>
      <c r="J9" s="44" t="str"/>
      <c r="K9" s="56" t="inlineStr">
        <is>
          <t>High</t>
        </is>
      </c>
      <c r="L9" s="44" t="inlineStr">
        <is>
          <t>Hardik</t>
        </is>
      </c>
      <c r="M9" s="44" t="inlineStr">
        <is>
          <t>Yes</t>
        </is>
      </c>
      <c r="N9" s="44" t="inlineStr">
        <is>
          <t>No</t>
        </is>
      </c>
      <c r="O9" s="44" t="str"/>
    </row>
    <row r="10">
      <c r="A10" s="57" t="inlineStr">
        <is>
          <t>MAT-06</t>
        </is>
      </c>
      <c r="B10" s="43" t="inlineStr">
        <is>
          <t>Stage 0 — Materials</t>
        </is>
      </c>
      <c r="C10" s="43" t="inlineStr">
        <is>
          <t>Credentials</t>
        </is>
      </c>
      <c r="D10" s="43" t="inlineStr">
        <is>
          <t>Private credentials available</t>
        </is>
      </c>
      <c r="E10" s="43" t="inlineStr">
        <is>
          <t>Wi-Fi, HA, Tuya/local keys available privately</t>
        </is>
      </c>
      <c r="F10" s="43" t="inlineStr">
        <is>
          <t>Credentials NOT committed to repo</t>
        </is>
      </c>
      <c r="G10" s="55" t="inlineStr">
        <is>
          <t>PENDING</t>
        </is>
      </c>
      <c r="H10" s="43" t="str"/>
      <c r="I10" s="43" t="str"/>
      <c r="J10" s="43" t="str"/>
      <c r="K10" s="59" t="inlineStr">
        <is>
          <t>Critical</t>
        </is>
      </c>
      <c r="L10" s="43" t="inlineStr">
        <is>
          <t>Hardik</t>
        </is>
      </c>
      <c r="M10" s="43" t="inlineStr">
        <is>
          <t>Yes</t>
        </is>
      </c>
      <c r="N10" s="43" t="inlineStr">
        <is>
          <t>No</t>
        </is>
      </c>
      <c r="O10" s="43" t="str"/>
    </row>
    <row r="11">
      <c r="A11" s="32" t="n"/>
      <c r="B11" s="32" t="n"/>
      <c r="C11" s="32" t="n"/>
      <c r="D11" s="32" t="n"/>
      <c r="E11" s="32" t="n"/>
      <c r="F11" s="32" t="n"/>
      <c r="G11" s="32" t="n"/>
      <c r="H11" s="32" t="n"/>
      <c r="I11" s="32" t="n"/>
      <c r="J11" s="32" t="n"/>
      <c r="K11" s="32" t="n"/>
      <c r="L11" s="32" t="n"/>
      <c r="M11" s="32" t="n"/>
      <c r="N11" s="32" t="n"/>
      <c r="O11" s="32" t="n"/>
    </row>
    <row r="12">
      <c r="A12" s="32" t="n"/>
      <c r="B12" s="32" t="n"/>
      <c r="C12" s="32" t="n"/>
      <c r="D12" s="32" t="n"/>
      <c r="E12" s="32" t="n"/>
      <c r="F12" s="32" t="n"/>
      <c r="G12" s="32" t="n"/>
      <c r="H12" s="32" t="n"/>
      <c r="I12" s="32" t="n"/>
      <c r="J12" s="32" t="n"/>
      <c r="K12" s="32" t="n"/>
      <c r="L12" s="32" t="n"/>
      <c r="M12" s="32" t="n"/>
      <c r="N12" s="32" t="n"/>
      <c r="O12" s="32" t="n"/>
    </row>
    <row r="13">
      <c r="A13" s="32" t="n"/>
      <c r="B13" s="32" t="n"/>
      <c r="C13" s="32" t="n"/>
      <c r="D13" s="32" t="n"/>
      <c r="E13" s="32" t="n"/>
      <c r="F13" s="32" t="n"/>
      <c r="G13" s="32" t="n"/>
      <c r="H13" s="32" t="n"/>
      <c r="I13" s="32" t="n"/>
      <c r="J13" s="32" t="n"/>
      <c r="K13" s="32" t="n"/>
      <c r="L13" s="32" t="n"/>
      <c r="M13" s="32" t="n"/>
      <c r="N13" s="32" t="n"/>
      <c r="O13" s="32" t="n"/>
    </row>
    <row r="14">
      <c r="A14" s="32" t="n"/>
      <c r="B14" s="32" t="n"/>
      <c r="C14" s="32" t="n"/>
      <c r="D14" s="32" t="n"/>
      <c r="E14" s="32" t="n"/>
      <c r="F14" s="32" t="n"/>
      <c r="G14" s="32" t="n"/>
      <c r="H14" s="32" t="n"/>
      <c r="I14" s="32" t="n"/>
      <c r="J14" s="32" t="n"/>
      <c r="K14" s="32" t="n"/>
      <c r="L14" s="32" t="n"/>
      <c r="M14" s="32" t="n"/>
      <c r="N14" s="32" t="n"/>
      <c r="O14" s="32" t="n"/>
    </row>
    <row r="15">
      <c r="A15" s="32" t="n"/>
      <c r="B15" s="32" t="n"/>
      <c r="C15" s="32" t="n"/>
      <c r="D15" s="32" t="n"/>
      <c r="E15" s="32" t="n"/>
      <c r="F15" s="32" t="n"/>
      <c r="G15" s="32" t="n"/>
      <c r="H15" s="32" t="n"/>
      <c r="I15" s="32" t="n"/>
      <c r="J15" s="32" t="n"/>
      <c r="K15" s="32" t="n"/>
      <c r="L15" s="32" t="n"/>
      <c r="M15" s="32" t="n"/>
      <c r="N15" s="32" t="n"/>
      <c r="O15" s="32" t="n"/>
    </row>
    <row r="16">
      <c r="A16" s="32" t="n"/>
      <c r="B16" s="32" t="n"/>
      <c r="C16" s="32" t="n"/>
      <c r="D16" s="32" t="n"/>
      <c r="E16" s="32" t="n"/>
      <c r="F16" s="32" t="n"/>
      <c r="G16" s="32" t="n"/>
      <c r="H16" s="32" t="n"/>
      <c r="I16" s="32" t="n"/>
      <c r="J16" s="32" t="n"/>
      <c r="K16" s="32" t="n"/>
      <c r="L16" s="32" t="n"/>
      <c r="M16" s="32" t="n"/>
      <c r="N16" s="32" t="n"/>
      <c r="O16" s="32" t="n"/>
    </row>
    <row r="17">
      <c r="A17" s="32" t="n"/>
      <c r="B17" s="32" t="n"/>
      <c r="C17" s="32" t="n"/>
      <c r="D17" s="32" t="n"/>
      <c r="E17" s="32" t="n"/>
      <c r="F17" s="32" t="n"/>
      <c r="G17" s="32" t="n"/>
      <c r="H17" s="32" t="n"/>
      <c r="I17" s="32" t="n"/>
      <c r="J17" s="32" t="n"/>
      <c r="K17" s="32" t="n"/>
      <c r="L17" s="32" t="n"/>
      <c r="M17" s="32" t="n"/>
      <c r="N17" s="32" t="n"/>
      <c r="O17" s="32" t="n"/>
    </row>
    <row r="18">
      <c r="A18" s="32" t="n"/>
      <c r="B18" s="32" t="n"/>
      <c r="C18" s="32" t="n"/>
      <c r="D18" s="32" t="n"/>
      <c r="E18" s="32" t="n"/>
      <c r="F18" s="32" t="n"/>
      <c r="G18" s="32" t="n"/>
      <c r="H18" s="32" t="n"/>
      <c r="I18" s="32" t="n"/>
      <c r="J18" s="32" t="n"/>
      <c r="K18" s="32" t="n"/>
      <c r="L18" s="32" t="n"/>
      <c r="M18" s="32" t="n"/>
      <c r="N18" s="32" t="n"/>
      <c r="O18" s="32" t="n"/>
    </row>
    <row r="19">
      <c r="A19" s="32" t="n"/>
      <c r="B19" s="32" t="n"/>
      <c r="C19" s="32" t="n"/>
      <c r="D19" s="32" t="n"/>
      <c r="E19" s="32" t="n"/>
      <c r="F19" s="32" t="n"/>
      <c r="G19" s="32" t="n"/>
      <c r="H19" s="32" t="n"/>
      <c r="I19" s="32" t="n"/>
      <c r="J19" s="32" t="n"/>
      <c r="K19" s="32" t="n"/>
      <c r="L19" s="32" t="n"/>
      <c r="M19" s="32" t="n"/>
      <c r="N19" s="32" t="n"/>
      <c r="O19" s="32" t="n"/>
    </row>
    <row r="20">
      <c r="A20" s="32" t="n"/>
      <c r="B20" s="32" t="n"/>
      <c r="C20" s="32" t="n"/>
      <c r="D20" s="32" t="n"/>
      <c r="E20" s="32" t="n"/>
      <c r="F20" s="32" t="n"/>
      <c r="G20" s="32" t="n"/>
      <c r="H20" s="32" t="n"/>
      <c r="I20" s="32" t="n"/>
      <c r="J20" s="32" t="n"/>
      <c r="K20" s="32" t="n"/>
      <c r="L20" s="32" t="n"/>
      <c r="M20" s="32" t="n"/>
      <c r="N20" s="32" t="n"/>
      <c r="O20" s="32" t="n"/>
    </row>
    <row r="21">
      <c r="A21" s="32" t="n"/>
      <c r="B21" s="32" t="n"/>
      <c r="C21" s="32" t="n"/>
      <c r="D21" s="32" t="n"/>
      <c r="E21" s="32" t="n"/>
      <c r="F21" s="32" t="n"/>
      <c r="G21" s="32" t="n"/>
      <c r="H21" s="32" t="n"/>
      <c r="I21" s="32" t="n"/>
      <c r="J21" s="32" t="n"/>
      <c r="K21" s="32" t="n"/>
      <c r="L21" s="32" t="n"/>
      <c r="M21" s="32" t="n"/>
      <c r="N21" s="32" t="n"/>
      <c r="O21" s="32" t="n"/>
    </row>
    <row r="22">
      <c r="A22" s="32" t="n"/>
      <c r="B22" s="32" t="n"/>
      <c r="C22" s="32" t="n"/>
      <c r="D22" s="32" t="n"/>
      <c r="E22" s="32" t="n"/>
      <c r="F22" s="32" t="n"/>
      <c r="G22" s="32" t="n"/>
      <c r="H22" s="32" t="n"/>
      <c r="I22" s="32" t="n"/>
      <c r="J22" s="32" t="n"/>
      <c r="K22" s="32" t="n"/>
      <c r="L22" s="32" t="n"/>
      <c r="M22" s="32" t="n"/>
      <c r="N22" s="32" t="n"/>
      <c r="O22" s="32" t="n"/>
    </row>
    <row r="23">
      <c r="A23" s="32" t="n"/>
      <c r="B23" s="32" t="n"/>
      <c r="C23" s="32" t="n"/>
      <c r="D23" s="32" t="n"/>
      <c r="E23" s="32" t="n"/>
      <c r="F23" s="32" t="n"/>
      <c r="G23" s="32" t="n"/>
      <c r="H23" s="32" t="n"/>
      <c r="I23" s="32" t="n"/>
      <c r="J23" s="32" t="n"/>
      <c r="K23" s="32" t="n"/>
      <c r="L23" s="32" t="n"/>
      <c r="M23" s="32" t="n"/>
      <c r="N23" s="32" t="n"/>
      <c r="O23" s="32" t="n"/>
    </row>
    <row r="24">
      <c r="A24" s="32" t="n"/>
      <c r="B24" s="32" t="n"/>
      <c r="C24" s="32" t="n"/>
      <c r="D24" s="32" t="n"/>
      <c r="E24" s="32" t="n"/>
      <c r="F24" s="32" t="n"/>
      <c r="G24" s="32" t="n"/>
      <c r="H24" s="32" t="n"/>
      <c r="I24" s="32" t="n"/>
      <c r="J24" s="32" t="n"/>
      <c r="K24" s="32" t="n"/>
      <c r="L24" s="32" t="n"/>
      <c r="M24" s="32" t="n"/>
      <c r="N24" s="32" t="n"/>
      <c r="O24" s="32" t="n"/>
    </row>
    <row r="25">
      <c r="A25" s="32" t="n"/>
      <c r="B25" s="32" t="n"/>
      <c r="C25" s="32" t="n"/>
      <c r="D25" s="32" t="n"/>
      <c r="E25" s="32" t="n"/>
      <c r="F25" s="32" t="n"/>
      <c r="G25" s="32" t="n"/>
      <c r="H25" s="32" t="n"/>
      <c r="I25" s="32" t="n"/>
      <c r="J25" s="32" t="n"/>
      <c r="K25" s="32" t="n"/>
      <c r="L25" s="32" t="n"/>
      <c r="M25" s="32" t="n"/>
      <c r="N25" s="32" t="n"/>
      <c r="O25" s="32" t="n"/>
    </row>
    <row r="26">
      <c r="A26" s="32" t="n"/>
      <c r="B26" s="32" t="n"/>
      <c r="C26" s="32" t="n"/>
      <c r="D26" s="32" t="n"/>
      <c r="E26" s="32" t="n"/>
      <c r="F26" s="32" t="n"/>
      <c r="G26" s="32" t="n"/>
      <c r="H26" s="32" t="n"/>
      <c r="I26" s="32" t="n"/>
      <c r="J26" s="32" t="n"/>
      <c r="K26" s="32" t="n"/>
      <c r="L26" s="32" t="n"/>
      <c r="M26" s="32" t="n"/>
      <c r="N26" s="32" t="n"/>
      <c r="O26" s="32" t="n"/>
    </row>
    <row r="27">
      <c r="A27" s="32" t="n"/>
      <c r="B27" s="32" t="n"/>
      <c r="C27" s="32" t="n"/>
      <c r="D27" s="32" t="n"/>
      <c r="E27" s="32" t="n"/>
      <c r="F27" s="32" t="n"/>
      <c r="G27" s="32" t="n"/>
      <c r="H27" s="32" t="n"/>
      <c r="I27" s="32" t="n"/>
      <c r="J27" s="32" t="n"/>
      <c r="K27" s="32" t="n"/>
      <c r="L27" s="32" t="n"/>
      <c r="M27" s="32" t="n"/>
      <c r="N27" s="32" t="n"/>
      <c r="O27" s="32" t="n"/>
    </row>
    <row r="28">
      <c r="A28" s="32" t="n"/>
      <c r="B28" s="32" t="n"/>
      <c r="C28" s="32" t="n"/>
      <c r="D28" s="32" t="n"/>
      <c r="E28" s="32" t="n"/>
      <c r="F28" s="32" t="n"/>
      <c r="G28" s="32" t="n"/>
      <c r="H28" s="32" t="n"/>
      <c r="I28" s="32" t="n"/>
      <c r="J28" s="32" t="n"/>
      <c r="K28" s="32" t="n"/>
      <c r="L28" s="32" t="n"/>
      <c r="M28" s="32" t="n"/>
      <c r="N28" s="32" t="n"/>
      <c r="O28" s="32" t="n"/>
    </row>
    <row r="29">
      <c r="A29" s="32" t="n"/>
      <c r="B29" s="32" t="n"/>
      <c r="C29" s="32" t="n"/>
      <c r="D29" s="32" t="n"/>
      <c r="E29" s="32" t="n"/>
      <c r="F29" s="32" t="n"/>
      <c r="G29" s="32" t="n"/>
      <c r="H29" s="32" t="n"/>
      <c r="I29" s="32" t="n"/>
      <c r="J29" s="32" t="n"/>
      <c r="K29" s="32" t="n"/>
      <c r="L29" s="32" t="n"/>
      <c r="M29" s="32" t="n"/>
      <c r="N29" s="32" t="n"/>
      <c r="O29" s="32" t="n"/>
    </row>
    <row r="30">
      <c r="A30" s="32" t="n"/>
      <c r="B30" s="32" t="n"/>
      <c r="C30" s="32" t="n"/>
      <c r="D30" s="32" t="n"/>
      <c r="E30" s="32" t="n"/>
      <c r="F30" s="32" t="n"/>
      <c r="G30" s="32" t="n"/>
      <c r="H30" s="32" t="n"/>
      <c r="I30" s="32" t="n"/>
      <c r="J30" s="32" t="n"/>
      <c r="K30" s="32" t="n"/>
      <c r="L30" s="32" t="n"/>
      <c r="M30" s="32" t="n"/>
      <c r="N30" s="32" t="n"/>
      <c r="O30" s="32" t="n"/>
    </row>
    <row r="31">
      <c r="A31" s="32" t="n"/>
      <c r="B31" s="32" t="n"/>
      <c r="C31" s="32" t="n"/>
      <c r="D31" s="32" t="n"/>
      <c r="E31" s="32" t="n"/>
      <c r="F31" s="32" t="n"/>
      <c r="G31" s="32" t="n"/>
      <c r="H31" s="32" t="n"/>
      <c r="I31" s="32" t="n"/>
      <c r="J31" s="32" t="n"/>
      <c r="K31" s="32" t="n"/>
      <c r="L31" s="32" t="n"/>
      <c r="M31" s="32" t="n"/>
      <c r="N31" s="32" t="n"/>
      <c r="O31" s="32" t="n"/>
    </row>
    <row r="32">
      <c r="A32" s="32" t="n"/>
      <c r="B32" s="32" t="n"/>
      <c r="C32" s="32" t="n"/>
      <c r="D32" s="32" t="n"/>
      <c r="E32" s="32" t="n"/>
      <c r="F32" s="32" t="n"/>
      <c r="G32" s="32" t="n"/>
      <c r="H32" s="32" t="n"/>
      <c r="I32" s="32" t="n"/>
      <c r="J32" s="32" t="n"/>
      <c r="K32" s="32" t="n"/>
      <c r="L32" s="32" t="n"/>
      <c r="M32" s="32" t="n"/>
      <c r="N32" s="32" t="n"/>
      <c r="O32" s="32" t="n"/>
    </row>
    <row r="33">
      <c r="A33" s="32" t="n"/>
      <c r="B33" s="32" t="n"/>
      <c r="C33" s="32" t="n"/>
      <c r="D33" s="32" t="n"/>
      <c r="E33" s="32" t="n"/>
      <c r="F33" s="32" t="n"/>
      <c r="G33" s="32" t="n"/>
      <c r="H33" s="32" t="n"/>
      <c r="I33" s="32" t="n"/>
      <c r="J33" s="32" t="n"/>
      <c r="K33" s="32" t="n"/>
      <c r="L33" s="32" t="n"/>
      <c r="M33" s="32" t="n"/>
      <c r="N33" s="32" t="n"/>
      <c r="O33" s="32" t="n"/>
    </row>
    <row r="34">
      <c r="A34" s="32" t="n"/>
      <c r="B34" s="32" t="n"/>
      <c r="C34" s="32" t="n"/>
      <c r="D34" s="32" t="n"/>
      <c r="E34" s="32" t="n"/>
      <c r="F34" s="32" t="n"/>
      <c r="G34" s="32" t="n"/>
      <c r="H34" s="32" t="n"/>
      <c r="I34" s="32" t="n"/>
      <c r="J34" s="32" t="n"/>
      <c r="K34" s="32" t="n"/>
      <c r="L34" s="32" t="n"/>
      <c r="M34" s="32" t="n"/>
      <c r="N34" s="32" t="n"/>
      <c r="O34" s="32" t="n"/>
    </row>
    <row r="35">
      <c r="A35" s="32" t="n"/>
      <c r="B35" s="32" t="n"/>
      <c r="C35" s="32" t="n"/>
      <c r="D35" s="32" t="n"/>
      <c r="E35" s="32" t="n"/>
      <c r="F35" s="32" t="n"/>
      <c r="G35" s="32" t="n"/>
      <c r="H35" s="32" t="n"/>
      <c r="I35" s="32" t="n"/>
      <c r="J35" s="32" t="n"/>
      <c r="K35" s="32" t="n"/>
      <c r="L35" s="32" t="n"/>
      <c r="M35" s="32" t="n"/>
      <c r="N35" s="32" t="n"/>
      <c r="O35" s="32" t="n"/>
    </row>
    <row r="36">
      <c r="A36" s="32" t="n"/>
      <c r="B36" s="32" t="n"/>
      <c r="C36" s="32" t="n"/>
      <c r="D36" s="32" t="n"/>
      <c r="E36" s="32" t="n"/>
      <c r="F36" s="32" t="n"/>
      <c r="G36" s="32" t="n"/>
      <c r="H36" s="32" t="n"/>
      <c r="I36" s="32" t="n"/>
      <c r="J36" s="32" t="n"/>
      <c r="K36" s="32" t="n"/>
      <c r="L36" s="32" t="n"/>
      <c r="M36" s="32" t="n"/>
      <c r="N36" s="32" t="n"/>
      <c r="O36" s="32" t="n"/>
    </row>
    <row r="37">
      <c r="A37" s="32" t="n"/>
      <c r="B37" s="32" t="n"/>
      <c r="C37" s="32" t="n"/>
      <c r="D37" s="32" t="n"/>
      <c r="E37" s="32" t="n"/>
      <c r="F37" s="32" t="n"/>
      <c r="G37" s="32" t="n"/>
      <c r="H37" s="32" t="n"/>
      <c r="I37" s="32" t="n"/>
      <c r="J37" s="32" t="n"/>
      <c r="K37" s="32" t="n"/>
      <c r="L37" s="32" t="n"/>
      <c r="M37" s="32" t="n"/>
      <c r="N37" s="32" t="n"/>
      <c r="O37" s="32" t="n"/>
    </row>
    <row r="38">
      <c r="A38" s="32" t="n"/>
      <c r="B38" s="32" t="n"/>
      <c r="C38" s="32" t="n"/>
      <c r="D38" s="32" t="n"/>
      <c r="E38" s="32" t="n"/>
      <c r="F38" s="32" t="n"/>
      <c r="G38" s="32" t="n"/>
      <c r="H38" s="32" t="n"/>
      <c r="I38" s="32" t="n"/>
      <c r="J38" s="32" t="n"/>
      <c r="K38" s="32" t="n"/>
      <c r="L38" s="32" t="n"/>
      <c r="M38" s="32" t="n"/>
      <c r="N38" s="32" t="n"/>
      <c r="O38" s="32" t="n"/>
    </row>
    <row r="39">
      <c r="A39" s="32" t="n"/>
      <c r="B39" s="32" t="n"/>
      <c r="C39" s="32" t="n"/>
      <c r="D39" s="32" t="n"/>
      <c r="E39" s="32" t="n"/>
      <c r="F39" s="32" t="n"/>
      <c r="G39" s="32" t="n"/>
      <c r="H39" s="32" t="n"/>
      <c r="I39" s="32" t="n"/>
      <c r="J39" s="32" t="n"/>
      <c r="K39" s="32" t="n"/>
      <c r="L39" s="32" t="n"/>
      <c r="M39" s="32" t="n"/>
      <c r="N39" s="32" t="n"/>
      <c r="O39" s="32" t="n"/>
    </row>
    <row r="40">
      <c r="A40" s="32" t="n"/>
      <c r="B40" s="32" t="n"/>
      <c r="C40" s="32" t="n"/>
      <c r="D40" s="32" t="n"/>
      <c r="E40" s="32" t="n"/>
      <c r="F40" s="32" t="n"/>
      <c r="G40" s="32" t="n"/>
      <c r="H40" s="32" t="n"/>
      <c r="I40" s="32" t="n"/>
      <c r="J40" s="32" t="n"/>
      <c r="K40" s="32" t="n"/>
      <c r="L40" s="32" t="n"/>
      <c r="M40" s="32" t="n"/>
      <c r="N40" s="32" t="n"/>
      <c r="O40" s="32" t="n"/>
    </row>
    <row r="41">
      <c r="A41" s="32" t="n"/>
      <c r="B41" s="32" t="n"/>
      <c r="C41" s="32" t="n"/>
      <c r="D41" s="32" t="n"/>
      <c r="E41" s="32" t="n"/>
      <c r="F41" s="32" t="n"/>
      <c r="G41" s="32" t="n"/>
      <c r="H41" s="32" t="n"/>
      <c r="I41" s="32" t="n"/>
      <c r="J41" s="32" t="n"/>
      <c r="K41" s="32" t="n"/>
      <c r="L41" s="32" t="n"/>
      <c r="M41" s="32" t="n"/>
      <c r="N41" s="32" t="n"/>
      <c r="O41" s="32" t="n"/>
    </row>
    <row r="42">
      <c r="A42" s="32" t="n"/>
      <c r="B42" s="32" t="n"/>
      <c r="C42" s="32" t="n"/>
      <c r="D42" s="32" t="n"/>
      <c r="E42" s="32" t="n"/>
      <c r="F42" s="32" t="n"/>
      <c r="G42" s="32" t="n"/>
      <c r="H42" s="32" t="n"/>
      <c r="I42" s="32" t="n"/>
      <c r="J42" s="32" t="n"/>
      <c r="K42" s="32" t="n"/>
      <c r="L42" s="32" t="n"/>
      <c r="M42" s="32" t="n"/>
      <c r="N42" s="32" t="n"/>
      <c r="O42" s="32" t="n"/>
    </row>
    <row r="43">
      <c r="A43" s="32" t="n"/>
      <c r="B43" s="32" t="n"/>
      <c r="C43" s="32" t="n"/>
      <c r="D43" s="32" t="n"/>
      <c r="E43" s="32" t="n"/>
      <c r="F43" s="32" t="n"/>
      <c r="G43" s="32" t="n"/>
      <c r="H43" s="32" t="n"/>
      <c r="I43" s="32" t="n"/>
      <c r="J43" s="32" t="n"/>
      <c r="K43" s="32" t="n"/>
      <c r="L43" s="32" t="n"/>
      <c r="M43" s="32" t="n"/>
      <c r="N43" s="32" t="n"/>
      <c r="O43" s="32" t="n"/>
    </row>
    <row r="44">
      <c r="A44" s="32" t="n"/>
      <c r="B44" s="32" t="n"/>
      <c r="C44" s="32" t="n"/>
      <c r="D44" s="32" t="n"/>
      <c r="E44" s="32" t="n"/>
      <c r="F44" s="32" t="n"/>
      <c r="G44" s="32" t="n"/>
      <c r="H44" s="32" t="n"/>
      <c r="I44" s="32" t="n"/>
      <c r="J44" s="32" t="n"/>
      <c r="K44" s="32" t="n"/>
      <c r="L44" s="32" t="n"/>
      <c r="M44" s="32" t="n"/>
      <c r="N44" s="32" t="n"/>
      <c r="O44" s="32" t="n"/>
    </row>
    <row r="45">
      <c r="A45" s="32" t="n"/>
      <c r="B45" s="32" t="n"/>
      <c r="C45" s="32" t="n"/>
      <c r="D45" s="32" t="n"/>
      <c r="E45" s="32" t="n"/>
      <c r="F45" s="32" t="n"/>
      <c r="G45" s="32" t="n"/>
      <c r="H45" s="32" t="n"/>
      <c r="I45" s="32" t="n"/>
      <c r="J45" s="32" t="n"/>
      <c r="K45" s="32" t="n"/>
      <c r="L45" s="32" t="n"/>
      <c r="M45" s="32" t="n"/>
      <c r="N45" s="32" t="n"/>
      <c r="O45" s="32" t="n"/>
    </row>
    <row r="46">
      <c r="A46" s="32" t="n"/>
      <c r="B46" s="32" t="n"/>
      <c r="C46" s="32" t="n"/>
      <c r="D46" s="32" t="n"/>
      <c r="E46" s="32" t="n"/>
      <c r="F46" s="32" t="n"/>
      <c r="G46" s="32" t="n"/>
      <c r="H46" s="32" t="n"/>
      <c r="I46" s="32" t="n"/>
      <c r="J46" s="32" t="n"/>
      <c r="K46" s="32" t="n"/>
      <c r="L46" s="32" t="n"/>
      <c r="M46" s="32" t="n"/>
      <c r="N46" s="32" t="n"/>
      <c r="O46" s="32" t="n"/>
    </row>
    <row r="47">
      <c r="A47" s="32" t="n"/>
      <c r="B47" s="32" t="n"/>
      <c r="C47" s="32" t="n"/>
      <c r="D47" s="32" t="n"/>
      <c r="E47" s="32" t="n"/>
      <c r="F47" s="32" t="n"/>
      <c r="G47" s="32" t="n"/>
      <c r="H47" s="32" t="n"/>
      <c r="I47" s="32" t="n"/>
      <c r="J47" s="32" t="n"/>
      <c r="K47" s="32" t="n"/>
      <c r="L47" s="32" t="n"/>
      <c r="M47" s="32" t="n"/>
      <c r="N47" s="32" t="n"/>
      <c r="O47" s="32" t="n"/>
    </row>
    <row r="48">
      <c r="A48" s="32" t="n"/>
      <c r="B48" s="32" t="n"/>
      <c r="C48" s="32" t="n"/>
      <c r="D48" s="32" t="n"/>
      <c r="E48" s="32" t="n"/>
      <c r="F48" s="32" t="n"/>
      <c r="G48" s="32" t="n"/>
      <c r="H48" s="32" t="n"/>
      <c r="I48" s="32" t="n"/>
      <c r="J48" s="32" t="n"/>
      <c r="K48" s="32" t="n"/>
      <c r="L48" s="32" t="n"/>
      <c r="M48" s="32" t="n"/>
      <c r="N48" s="32" t="n"/>
      <c r="O48" s="32" t="n"/>
    </row>
    <row r="49">
      <c r="A49" s="32" t="n"/>
      <c r="B49" s="32" t="n"/>
      <c r="C49" s="32" t="n"/>
      <c r="D49" s="32" t="n"/>
      <c r="E49" s="32" t="n"/>
      <c r="F49" s="32" t="n"/>
      <c r="G49" s="32" t="n"/>
      <c r="H49" s="32" t="n"/>
      <c r="I49" s="32" t="n"/>
      <c r="J49" s="32" t="n"/>
      <c r="K49" s="32" t="n"/>
      <c r="L49" s="32" t="n"/>
      <c r="M49" s="32" t="n"/>
      <c r="N49" s="32" t="n"/>
      <c r="O49" s="32" t="n"/>
    </row>
    <row r="50">
      <c r="A50" s="32" t="n"/>
      <c r="B50" s="32" t="n"/>
      <c r="C50" s="32" t="n"/>
      <c r="D50" s="32" t="n"/>
      <c r="E50" s="32" t="n"/>
      <c r="F50" s="32" t="n"/>
      <c r="G50" s="32" t="n"/>
      <c r="H50" s="32" t="n"/>
      <c r="I50" s="32" t="n"/>
      <c r="J50" s="32" t="n"/>
      <c r="K50" s="32" t="n"/>
      <c r="L50" s="32" t="n"/>
      <c r="M50" s="32" t="n"/>
      <c r="N50" s="32" t="n"/>
      <c r="O50" s="32" t="n"/>
    </row>
    <row r="51">
      <c r="A51" s="32" t="n"/>
      <c r="B51" s="32" t="n"/>
      <c r="C51" s="32" t="n"/>
      <c r="D51" s="32" t="n"/>
      <c r="E51" s="32" t="n"/>
      <c r="F51" s="32" t="n"/>
      <c r="G51" s="32" t="n"/>
      <c r="H51" s="32" t="n"/>
      <c r="I51" s="32" t="n"/>
      <c r="J51" s="32" t="n"/>
      <c r="K51" s="32" t="n"/>
      <c r="L51" s="32" t="n"/>
      <c r="M51" s="32" t="n"/>
      <c r="N51" s="32" t="n"/>
      <c r="O51" s="32" t="n"/>
    </row>
    <row r="52">
      <c r="A52" s="32" t="n"/>
      <c r="B52" s="32" t="n"/>
      <c r="C52" s="32" t="n"/>
      <c r="D52" s="32" t="n"/>
      <c r="E52" s="32" t="n"/>
      <c r="F52" s="32" t="n"/>
      <c r="G52" s="32" t="n"/>
      <c r="H52" s="32" t="n"/>
      <c r="I52" s="32" t="n"/>
      <c r="J52" s="32" t="n"/>
      <c r="K52" s="32" t="n"/>
      <c r="L52" s="32" t="n"/>
      <c r="M52" s="32" t="n"/>
      <c r="N52" s="32" t="n"/>
      <c r="O52" s="32" t="n"/>
    </row>
    <row r="53">
      <c r="A53" s="32" t="n"/>
      <c r="B53" s="32" t="n"/>
      <c r="C53" s="32" t="n"/>
      <c r="D53" s="32" t="n"/>
      <c r="E53" s="32" t="n"/>
      <c r="F53" s="32" t="n"/>
      <c r="G53" s="32" t="n"/>
      <c r="H53" s="32" t="n"/>
      <c r="I53" s="32" t="n"/>
      <c r="J53" s="32" t="n"/>
      <c r="K53" s="32" t="n"/>
      <c r="L53" s="32" t="n"/>
      <c r="M53" s="32" t="n"/>
      <c r="N53" s="32" t="n"/>
      <c r="O53" s="32" t="n"/>
    </row>
    <row r="54">
      <c r="A54" s="32" t="n"/>
      <c r="B54" s="32" t="n"/>
      <c r="C54" s="32" t="n"/>
      <c r="D54" s="32" t="n"/>
      <c r="E54" s="32" t="n"/>
      <c r="F54" s="32" t="n"/>
      <c r="G54" s="32" t="n"/>
      <c r="H54" s="32" t="n"/>
      <c r="I54" s="32" t="n"/>
      <c r="J54" s="32" t="n"/>
      <c r="K54" s="32" t="n"/>
      <c r="L54" s="32" t="n"/>
      <c r="M54" s="32" t="n"/>
      <c r="N54" s="32" t="n"/>
      <c r="O54" s="32" t="n"/>
    </row>
    <row r="55">
      <c r="A55" s="32" t="n"/>
      <c r="B55" s="32" t="n"/>
      <c r="C55" s="32" t="n"/>
      <c r="D55" s="32" t="n"/>
      <c r="E55" s="32" t="n"/>
      <c r="F55" s="32" t="n"/>
      <c r="G55" s="32" t="n"/>
      <c r="H55" s="32" t="n"/>
      <c r="I55" s="32" t="n"/>
      <c r="J55" s="32" t="n"/>
      <c r="K55" s="32" t="n"/>
      <c r="L55" s="32" t="n"/>
      <c r="M55" s="32" t="n"/>
      <c r="N55" s="32" t="n"/>
      <c r="O55" s="32" t="n"/>
    </row>
    <row r="56">
      <c r="A56" s="32" t="n"/>
      <c r="B56" s="32" t="n"/>
      <c r="C56" s="32" t="n"/>
      <c r="D56" s="32" t="n"/>
      <c r="E56" s="32" t="n"/>
      <c r="F56" s="32" t="n"/>
      <c r="G56" s="32" t="n"/>
      <c r="H56" s="32" t="n"/>
      <c r="I56" s="32" t="n"/>
      <c r="J56" s="32" t="n"/>
      <c r="K56" s="32" t="n"/>
      <c r="L56" s="32" t="n"/>
      <c r="M56" s="32" t="n"/>
      <c r="N56" s="32" t="n"/>
      <c r="O56" s="32" t="n"/>
    </row>
    <row r="57">
      <c r="A57" s="32" t="n"/>
      <c r="B57" s="32" t="n"/>
      <c r="C57" s="32" t="n"/>
      <c r="D57" s="32" t="n"/>
      <c r="E57" s="32" t="n"/>
      <c r="F57" s="32" t="n"/>
      <c r="G57" s="32" t="n"/>
      <c r="H57" s="32" t="n"/>
      <c r="I57" s="32" t="n"/>
      <c r="J57" s="32" t="n"/>
      <c r="K57" s="32" t="n"/>
      <c r="L57" s="32" t="n"/>
      <c r="M57" s="32" t="n"/>
      <c r="N57" s="32" t="n"/>
      <c r="O57" s="32" t="n"/>
    </row>
    <row r="58">
      <c r="A58" s="32" t="n"/>
      <c r="B58" s="32" t="n"/>
      <c r="C58" s="32" t="n"/>
      <c r="D58" s="32" t="n"/>
      <c r="E58" s="32" t="n"/>
      <c r="F58" s="32" t="n"/>
      <c r="G58" s="32" t="n"/>
      <c r="H58" s="32" t="n"/>
      <c r="I58" s="32" t="n"/>
      <c r="J58" s="32" t="n"/>
      <c r="K58" s="32" t="n"/>
      <c r="L58" s="32" t="n"/>
      <c r="M58" s="32" t="n"/>
      <c r="N58" s="32" t="n"/>
      <c r="O58" s="32" t="n"/>
    </row>
    <row r="59">
      <c r="A59" s="32" t="n"/>
      <c r="B59" s="32" t="n"/>
      <c r="C59" s="32" t="n"/>
      <c r="D59" s="32" t="n"/>
      <c r="E59" s="32" t="n"/>
      <c r="F59" s="32" t="n"/>
      <c r="G59" s="32" t="n"/>
      <c r="H59" s="32" t="n"/>
      <c r="I59" s="32" t="n"/>
      <c r="J59" s="32" t="n"/>
      <c r="K59" s="32" t="n"/>
      <c r="L59" s="32" t="n"/>
      <c r="M59" s="32" t="n"/>
      <c r="N59" s="32" t="n"/>
      <c r="O59" s="32" t="n"/>
    </row>
    <row r="60">
      <c r="A60" s="32" t="n"/>
      <c r="B60" s="32" t="n"/>
      <c r="C60" s="32" t="n"/>
      <c r="D60" s="32" t="n"/>
      <c r="E60" s="32" t="n"/>
      <c r="F60" s="32" t="n"/>
      <c r="G60" s="32" t="n"/>
      <c r="H60" s="32" t="n"/>
      <c r="I60" s="32" t="n"/>
      <c r="J60" s="32" t="n"/>
      <c r="K60" s="32" t="n"/>
      <c r="L60" s="32" t="n"/>
      <c r="M60" s="32" t="n"/>
      <c r="N60" s="32" t="n"/>
      <c r="O60" s="32" t="n"/>
    </row>
    <row r="61">
      <c r="A61" s="32" t="n"/>
      <c r="B61" s="32" t="n"/>
      <c r="C61" s="32" t="n"/>
      <c r="D61" s="32" t="n"/>
      <c r="E61" s="32" t="n"/>
      <c r="F61" s="32" t="n"/>
      <c r="G61" s="32" t="n"/>
      <c r="H61" s="32" t="n"/>
      <c r="I61" s="32" t="n"/>
      <c r="J61" s="32" t="n"/>
      <c r="K61" s="32" t="n"/>
      <c r="L61" s="32" t="n"/>
      <c r="M61" s="32" t="n"/>
      <c r="N61" s="32" t="n"/>
      <c r="O61" s="32" t="n"/>
    </row>
    <row r="62">
      <c r="A62" s="32" t="n"/>
      <c r="B62" s="32" t="n"/>
      <c r="C62" s="32" t="n"/>
      <c r="D62" s="32" t="n"/>
      <c r="E62" s="32" t="n"/>
      <c r="F62" s="32" t="n"/>
      <c r="G62" s="32" t="n"/>
      <c r="H62" s="32" t="n"/>
      <c r="I62" s="32" t="n"/>
      <c r="J62" s="32" t="n"/>
      <c r="K62" s="32" t="n"/>
      <c r="L62" s="32" t="n"/>
      <c r="M62" s="32" t="n"/>
      <c r="N62" s="32" t="n"/>
      <c r="O62" s="32" t="n"/>
    </row>
    <row r="63">
      <c r="A63" s="32" t="n"/>
      <c r="B63" s="32" t="n"/>
      <c r="C63" s="32" t="n"/>
      <c r="D63" s="32" t="n"/>
      <c r="E63" s="32" t="n"/>
      <c r="F63" s="32" t="n"/>
      <c r="G63" s="32" t="n"/>
      <c r="H63" s="32" t="n"/>
      <c r="I63" s="32" t="n"/>
      <c r="J63" s="32" t="n"/>
      <c r="K63" s="32" t="n"/>
      <c r="L63" s="32" t="n"/>
      <c r="M63" s="32" t="n"/>
      <c r="N63" s="32" t="n"/>
      <c r="O63" s="32" t="n"/>
    </row>
    <row r="64">
      <c r="A64" s="32" t="n"/>
      <c r="B64" s="32" t="n"/>
      <c r="C64" s="32" t="n"/>
      <c r="D64" s="32" t="n"/>
      <c r="E64" s="32" t="n"/>
      <c r="F64" s="32" t="n"/>
      <c r="G64" s="32" t="n"/>
      <c r="H64" s="32" t="n"/>
      <c r="I64" s="32" t="n"/>
      <c r="J64" s="32" t="n"/>
      <c r="K64" s="32" t="n"/>
      <c r="L64" s="32" t="n"/>
      <c r="M64" s="32" t="n"/>
      <c r="N64" s="32" t="n"/>
      <c r="O64" s="32" t="n"/>
    </row>
    <row r="65">
      <c r="A65" s="32" t="n"/>
      <c r="B65" s="32" t="n"/>
      <c r="C65" s="32" t="n"/>
      <c r="D65" s="32" t="n"/>
      <c r="E65" s="32" t="n"/>
      <c r="F65" s="32" t="n"/>
      <c r="G65" s="32" t="n"/>
      <c r="H65" s="32" t="n"/>
      <c r="I65" s="32" t="n"/>
      <c r="J65" s="32" t="n"/>
      <c r="K65" s="32" t="n"/>
      <c r="L65" s="32" t="n"/>
      <c r="M65" s="32" t="n"/>
      <c r="N65" s="32" t="n"/>
      <c r="O65" s="32" t="n"/>
    </row>
    <row r="66">
      <c r="A66" s="32" t="n"/>
      <c r="B66" s="32" t="n"/>
      <c r="C66" s="32" t="n"/>
      <c r="D66" s="32" t="n"/>
      <c r="E66" s="32" t="n"/>
      <c r="F66" s="32" t="n"/>
      <c r="G66" s="32" t="n"/>
      <c r="H66" s="32" t="n"/>
      <c r="I66" s="32" t="n"/>
      <c r="J66" s="32" t="n"/>
      <c r="K66" s="32" t="n"/>
      <c r="L66" s="32" t="n"/>
      <c r="M66" s="32" t="n"/>
      <c r="N66" s="32" t="n"/>
      <c r="O66" s="32" t="n"/>
    </row>
    <row r="67">
      <c r="A67" s="32" t="n"/>
      <c r="B67" s="32" t="n"/>
      <c r="C67" s="32" t="n"/>
      <c r="D67" s="32" t="n"/>
      <c r="E67" s="32" t="n"/>
      <c r="F67" s="32" t="n"/>
      <c r="G67" s="32" t="n"/>
      <c r="H67" s="32" t="n"/>
      <c r="I67" s="32" t="n"/>
      <c r="J67" s="32" t="n"/>
      <c r="K67" s="32" t="n"/>
      <c r="L67" s="32" t="n"/>
      <c r="M67" s="32" t="n"/>
      <c r="N67" s="32" t="n"/>
      <c r="O67" s="32" t="n"/>
    </row>
    <row r="68">
      <c r="A68" s="32" t="n"/>
      <c r="B68" s="32" t="n"/>
      <c r="C68" s="32" t="n"/>
      <c r="D68" s="32" t="n"/>
      <c r="E68" s="32" t="n"/>
      <c r="F68" s="32" t="n"/>
      <c r="G68" s="32" t="n"/>
      <c r="H68" s="32" t="n"/>
      <c r="I68" s="32" t="n"/>
      <c r="J68" s="32" t="n"/>
      <c r="K68" s="32" t="n"/>
      <c r="L68" s="32" t="n"/>
      <c r="M68" s="32" t="n"/>
      <c r="N68" s="32" t="n"/>
      <c r="O68" s="32" t="n"/>
    </row>
    <row r="69">
      <c r="A69" s="32" t="n"/>
      <c r="B69" s="32" t="n"/>
      <c r="C69" s="32" t="n"/>
      <c r="D69" s="32" t="n"/>
      <c r="E69" s="32" t="n"/>
      <c r="F69" s="32" t="n"/>
      <c r="G69" s="32" t="n"/>
      <c r="H69" s="32" t="n"/>
      <c r="I69" s="32" t="n"/>
      <c r="J69" s="32" t="n"/>
      <c r="K69" s="32" t="n"/>
      <c r="L69" s="32" t="n"/>
      <c r="M69" s="32" t="n"/>
      <c r="N69" s="32" t="n"/>
      <c r="O69" s="32" t="n"/>
    </row>
    <row r="70">
      <c r="A70" s="32" t="n"/>
      <c r="B70" s="32" t="n"/>
      <c r="C70" s="32" t="n"/>
      <c r="D70" s="32" t="n"/>
      <c r="E70" s="32" t="n"/>
      <c r="F70" s="32" t="n"/>
      <c r="G70" s="32" t="n"/>
      <c r="H70" s="32" t="n"/>
      <c r="I70" s="32" t="n"/>
      <c r="J70" s="32" t="n"/>
      <c r="K70" s="32" t="n"/>
      <c r="L70" s="32" t="n"/>
      <c r="M70" s="32" t="n"/>
      <c r="N70" s="32" t="n"/>
      <c r="O70" s="32" t="n"/>
    </row>
    <row r="71">
      <c r="A71" s="32" t="n"/>
      <c r="B71" s="32" t="n"/>
      <c r="C71" s="32" t="n"/>
      <c r="D71" s="32" t="n"/>
      <c r="E71" s="32" t="n"/>
      <c r="F71" s="32" t="n"/>
      <c r="G71" s="32" t="n"/>
      <c r="H71" s="32" t="n"/>
      <c r="I71" s="32" t="n"/>
      <c r="J71" s="32" t="n"/>
      <c r="K71" s="32" t="n"/>
      <c r="L71" s="32" t="n"/>
      <c r="M71" s="32" t="n"/>
      <c r="N71" s="32" t="n"/>
      <c r="O71" s="32" t="n"/>
    </row>
    <row r="72">
      <c r="A72" s="32" t="n"/>
      <c r="B72" s="32" t="n"/>
      <c r="C72" s="32" t="n"/>
      <c r="D72" s="32" t="n"/>
      <c r="E72" s="32" t="n"/>
      <c r="F72" s="32" t="n"/>
      <c r="G72" s="32" t="n"/>
      <c r="H72" s="32" t="n"/>
      <c r="I72" s="32" t="n"/>
      <c r="J72" s="32" t="n"/>
      <c r="K72" s="32" t="n"/>
      <c r="L72" s="32" t="n"/>
      <c r="M72" s="32" t="n"/>
      <c r="N72" s="32" t="n"/>
      <c r="O72" s="32" t="n"/>
    </row>
    <row r="73">
      <c r="A73" s="32" t="n"/>
      <c r="B73" s="32" t="n"/>
      <c r="C73" s="32" t="n"/>
      <c r="D73" s="32" t="n"/>
      <c r="E73" s="32" t="n"/>
      <c r="F73" s="32" t="n"/>
      <c r="G73" s="32" t="n"/>
      <c r="H73" s="32" t="n"/>
      <c r="I73" s="32" t="n"/>
      <c r="J73" s="32" t="n"/>
      <c r="K73" s="32" t="n"/>
      <c r="L73" s="32" t="n"/>
      <c r="M73" s="32" t="n"/>
      <c r="N73" s="32" t="n"/>
      <c r="O73" s="32" t="n"/>
    </row>
    <row r="74">
      <c r="A74" s="32" t="n"/>
      <c r="B74" s="32" t="n"/>
      <c r="C74" s="32" t="n"/>
      <c r="D74" s="32" t="n"/>
      <c r="E74" s="32" t="n"/>
      <c r="F74" s="32" t="n"/>
      <c r="G74" s="32" t="n"/>
      <c r="H74" s="32" t="n"/>
      <c r="I74" s="32" t="n"/>
      <c r="J74" s="32" t="n"/>
      <c r="K74" s="32" t="n"/>
      <c r="L74" s="32" t="n"/>
      <c r="M74" s="32" t="n"/>
      <c r="N74" s="32" t="n"/>
      <c r="O74" s="32" t="n"/>
    </row>
    <row r="75">
      <c r="A75" s="32" t="n"/>
      <c r="B75" s="32" t="n"/>
      <c r="C75" s="32" t="n"/>
      <c r="D75" s="32" t="n"/>
      <c r="E75" s="32" t="n"/>
      <c r="F75" s="32" t="n"/>
      <c r="G75" s="32" t="n"/>
      <c r="H75" s="32" t="n"/>
      <c r="I75" s="32" t="n"/>
      <c r="J75" s="32" t="n"/>
      <c r="K75" s="32" t="n"/>
      <c r="L75" s="32" t="n"/>
      <c r="M75" s="32" t="n"/>
      <c r="N75" s="32" t="n"/>
      <c r="O75" s="32" t="n"/>
    </row>
    <row r="76">
      <c r="A76" s="32" t="n"/>
      <c r="B76" s="32" t="n"/>
      <c r="C76" s="32" t="n"/>
      <c r="D76" s="32" t="n"/>
      <c r="E76" s="32" t="n"/>
      <c r="F76" s="32" t="n"/>
      <c r="G76" s="32" t="n"/>
      <c r="H76" s="32" t="n"/>
      <c r="I76" s="32" t="n"/>
      <c r="J76" s="32" t="n"/>
      <c r="K76" s="32" t="n"/>
      <c r="L76" s="32" t="n"/>
      <c r="M76" s="32" t="n"/>
      <c r="N76" s="32" t="n"/>
      <c r="O76" s="32" t="n"/>
    </row>
    <row r="77">
      <c r="A77" s="32" t="n"/>
      <c r="B77" s="32" t="n"/>
      <c r="C77" s="32" t="n"/>
      <c r="D77" s="32" t="n"/>
      <c r="E77" s="32" t="n"/>
      <c r="F77" s="32" t="n"/>
      <c r="G77" s="32" t="n"/>
      <c r="H77" s="32" t="n"/>
      <c r="I77" s="32" t="n"/>
      <c r="J77" s="32" t="n"/>
      <c r="K77" s="32" t="n"/>
      <c r="L77" s="32" t="n"/>
      <c r="M77" s="32" t="n"/>
      <c r="N77" s="32" t="n"/>
      <c r="O77" s="32" t="n"/>
    </row>
    <row r="78">
      <c r="A78" s="32" t="n"/>
      <c r="B78" s="32" t="n"/>
      <c r="C78" s="32" t="n"/>
      <c r="D78" s="32" t="n"/>
      <c r="E78" s="32" t="n"/>
      <c r="F78" s="32" t="n"/>
      <c r="G78" s="32" t="n"/>
      <c r="H78" s="32" t="n"/>
      <c r="I78" s="32" t="n"/>
      <c r="J78" s="32" t="n"/>
      <c r="K78" s="32" t="n"/>
      <c r="L78" s="32" t="n"/>
      <c r="M78" s="32" t="n"/>
      <c r="N78" s="32" t="n"/>
      <c r="O78" s="32" t="n"/>
    </row>
    <row r="79">
      <c r="A79" s="32" t="n"/>
      <c r="B79" s="32" t="n"/>
      <c r="C79" s="32" t="n"/>
      <c r="D79" s="32" t="n"/>
      <c r="E79" s="32" t="n"/>
      <c r="F79" s="32" t="n"/>
      <c r="G79" s="32" t="n"/>
      <c r="H79" s="32" t="n"/>
      <c r="I79" s="32" t="n"/>
      <c r="J79" s="32" t="n"/>
      <c r="K79" s="32" t="n"/>
      <c r="L79" s="32" t="n"/>
      <c r="M79" s="32" t="n"/>
      <c r="N79" s="32" t="n"/>
      <c r="O79" s="32" t="n"/>
    </row>
    <row r="80">
      <c r="A80" s="32" t="n"/>
      <c r="B80" s="32" t="n"/>
      <c r="C80" s="32" t="n"/>
      <c r="D80" s="32" t="n"/>
      <c r="E80" s="32" t="n"/>
      <c r="F80" s="32" t="n"/>
      <c r="G80" s="32" t="n"/>
      <c r="H80" s="32" t="n"/>
      <c r="I80" s="32" t="n"/>
      <c r="J80" s="32" t="n"/>
      <c r="K80" s="32" t="n"/>
      <c r="L80" s="32" t="n"/>
      <c r="M80" s="32" t="n"/>
      <c r="N80" s="32" t="n"/>
      <c r="O80" s="32" t="n"/>
    </row>
    <row r="81">
      <c r="A81" s="32" t="n"/>
      <c r="B81" s="32" t="n"/>
      <c r="C81" s="32" t="n"/>
      <c r="D81" s="32" t="n"/>
      <c r="E81" s="32" t="n"/>
      <c r="F81" s="32" t="n"/>
      <c r="G81" s="32" t="n"/>
      <c r="H81" s="32" t="n"/>
      <c r="I81" s="32" t="n"/>
      <c r="J81" s="32" t="n"/>
      <c r="K81" s="32" t="n"/>
      <c r="L81" s="32" t="n"/>
      <c r="M81" s="32" t="n"/>
      <c r="N81" s="32" t="n"/>
      <c r="O81" s="32" t="n"/>
    </row>
    <row r="82">
      <c r="A82" s="32" t="n"/>
      <c r="B82" s="32" t="n"/>
      <c r="C82" s="32" t="n"/>
      <c r="D82" s="32" t="n"/>
      <c r="E82" s="32" t="n"/>
      <c r="F82" s="32" t="n"/>
      <c r="G82" s="32" t="n"/>
      <c r="H82" s="32" t="n"/>
      <c r="I82" s="32" t="n"/>
      <c r="J82" s="32" t="n"/>
      <c r="K82" s="32" t="n"/>
      <c r="L82" s="32" t="n"/>
      <c r="M82" s="32" t="n"/>
      <c r="N82" s="32" t="n"/>
      <c r="O82" s="32" t="n"/>
    </row>
    <row r="83">
      <c r="A83" s="32" t="n"/>
      <c r="B83" s="32" t="n"/>
      <c r="C83" s="32" t="n"/>
      <c r="D83" s="32" t="n"/>
      <c r="E83" s="32" t="n"/>
      <c r="F83" s="32" t="n"/>
      <c r="G83" s="32" t="n"/>
      <c r="H83" s="32" t="n"/>
      <c r="I83" s="32" t="n"/>
      <c r="J83" s="32" t="n"/>
      <c r="K83" s="32" t="n"/>
      <c r="L83" s="32" t="n"/>
      <c r="M83" s="32" t="n"/>
      <c r="N83" s="32" t="n"/>
      <c r="O83" s="32" t="n"/>
    </row>
    <row r="84">
      <c r="A84" s="32" t="n"/>
      <c r="B84" s="32" t="n"/>
      <c r="C84" s="32" t="n"/>
      <c r="D84" s="32" t="n"/>
      <c r="E84" s="32" t="n"/>
      <c r="F84" s="32" t="n"/>
      <c r="G84" s="32" t="n"/>
      <c r="H84" s="32" t="n"/>
      <c r="I84" s="32" t="n"/>
      <c r="J84" s="32" t="n"/>
      <c r="K84" s="32" t="n"/>
      <c r="L84" s="32" t="n"/>
      <c r="M84" s="32" t="n"/>
      <c r="N84" s="32" t="n"/>
      <c r="O84" s="32" t="n"/>
    </row>
    <row r="85">
      <c r="A85" s="32" t="n"/>
      <c r="B85" s="32" t="n"/>
      <c r="C85" s="32" t="n"/>
      <c r="D85" s="32" t="n"/>
      <c r="E85" s="32" t="n"/>
      <c r="F85" s="32" t="n"/>
      <c r="G85" s="32" t="n"/>
      <c r="H85" s="32" t="n"/>
      <c r="I85" s="32" t="n"/>
      <c r="J85" s="32" t="n"/>
      <c r="K85" s="32" t="n"/>
      <c r="L85" s="32" t="n"/>
      <c r="M85" s="32" t="n"/>
      <c r="N85" s="32" t="n"/>
      <c r="O85" s="32" t="n"/>
    </row>
    <row r="86">
      <c r="A86" s="32" t="n"/>
      <c r="B86" s="32" t="n"/>
      <c r="C86" s="32" t="n"/>
      <c r="D86" s="32" t="n"/>
      <c r="E86" s="32" t="n"/>
      <c r="F86" s="32" t="n"/>
      <c r="G86" s="32" t="n"/>
      <c r="H86" s="32" t="n"/>
      <c r="I86" s="32" t="n"/>
      <c r="J86" s="32" t="n"/>
      <c r="K86" s="32" t="n"/>
      <c r="L86" s="32" t="n"/>
      <c r="M86" s="32" t="n"/>
      <c r="N86" s="32" t="n"/>
      <c r="O86" s="32" t="n"/>
    </row>
    <row r="87">
      <c r="A87" s="32" t="n"/>
      <c r="B87" s="32" t="n"/>
      <c r="C87" s="32" t="n"/>
      <c r="D87" s="32" t="n"/>
      <c r="E87" s="32" t="n"/>
      <c r="F87" s="32" t="n"/>
      <c r="G87" s="32" t="n"/>
      <c r="H87" s="32" t="n"/>
      <c r="I87" s="32" t="n"/>
      <c r="J87" s="32" t="n"/>
      <c r="K87" s="32" t="n"/>
      <c r="L87" s="32" t="n"/>
      <c r="M87" s="32" t="n"/>
      <c r="N87" s="32" t="n"/>
      <c r="O87" s="32" t="n"/>
    </row>
    <row r="88">
      <c r="A88" s="32" t="n"/>
      <c r="B88" s="32" t="n"/>
      <c r="C88" s="32" t="n"/>
      <c r="D88" s="32" t="n"/>
      <c r="E88" s="32" t="n"/>
      <c r="F88" s="32" t="n"/>
      <c r="G88" s="32" t="n"/>
      <c r="H88" s="32" t="n"/>
      <c r="I88" s="32" t="n"/>
      <c r="J88" s="32" t="n"/>
      <c r="K88" s="32" t="n"/>
      <c r="L88" s="32" t="n"/>
      <c r="M88" s="32" t="n"/>
      <c r="N88" s="32" t="n"/>
      <c r="O88" s="32" t="n"/>
    </row>
    <row r="89">
      <c r="A89" s="32" t="n"/>
      <c r="B89" s="32" t="n"/>
      <c r="C89" s="32" t="n"/>
      <c r="D89" s="32" t="n"/>
      <c r="E89" s="32" t="n"/>
      <c r="F89" s="32" t="n"/>
      <c r="G89" s="32" t="n"/>
      <c r="H89" s="32" t="n"/>
      <c r="I89" s="32" t="n"/>
      <c r="J89" s="32" t="n"/>
      <c r="K89" s="32" t="n"/>
      <c r="L89" s="32" t="n"/>
      <c r="M89" s="32" t="n"/>
      <c r="N89" s="32" t="n"/>
      <c r="O89" s="32" t="n"/>
    </row>
    <row r="90">
      <c r="A90" s="32" t="n"/>
      <c r="B90" s="32" t="n"/>
      <c r="C90" s="32" t="n"/>
      <c r="D90" s="32" t="n"/>
      <c r="E90" s="32" t="n"/>
      <c r="F90" s="32" t="n"/>
      <c r="G90" s="32" t="n"/>
      <c r="H90" s="32" t="n"/>
      <c r="I90" s="32" t="n"/>
      <c r="J90" s="32" t="n"/>
      <c r="K90" s="32" t="n"/>
      <c r="L90" s="32" t="n"/>
      <c r="M90" s="32" t="n"/>
      <c r="N90" s="32" t="n"/>
      <c r="O90" s="32" t="n"/>
    </row>
    <row r="91">
      <c r="A91" s="32" t="n"/>
      <c r="B91" s="32" t="n"/>
      <c r="C91" s="32" t="n"/>
      <c r="D91" s="32" t="n"/>
      <c r="E91" s="32" t="n"/>
      <c r="F91" s="32" t="n"/>
      <c r="G91" s="32" t="n"/>
      <c r="H91" s="32" t="n"/>
      <c r="I91" s="32" t="n"/>
      <c r="J91" s="32" t="n"/>
      <c r="K91" s="32" t="n"/>
      <c r="L91" s="32" t="n"/>
      <c r="M91" s="32" t="n"/>
      <c r="N91" s="32" t="n"/>
      <c r="O91" s="32" t="n"/>
    </row>
    <row r="92">
      <c r="A92" s="32" t="n"/>
      <c r="B92" s="32" t="n"/>
      <c r="C92" s="32" t="n"/>
      <c r="D92" s="32" t="n"/>
      <c r="E92" s="32" t="n"/>
      <c r="F92" s="32" t="n"/>
      <c r="G92" s="32" t="n"/>
      <c r="H92" s="32" t="n"/>
      <c r="I92" s="32" t="n"/>
      <c r="J92" s="32" t="n"/>
      <c r="K92" s="32" t="n"/>
      <c r="L92" s="32" t="n"/>
      <c r="M92" s="32" t="n"/>
      <c r="N92" s="32" t="n"/>
      <c r="O92" s="32" t="n"/>
    </row>
    <row r="93">
      <c r="A93" s="32" t="n"/>
      <c r="B93" s="32" t="n"/>
      <c r="C93" s="32" t="n"/>
      <c r="D93" s="32" t="n"/>
      <c r="E93" s="32" t="n"/>
      <c r="F93" s="32" t="n"/>
      <c r="G93" s="32" t="n"/>
      <c r="H93" s="32" t="n"/>
      <c r="I93" s="32" t="n"/>
      <c r="J93" s="32" t="n"/>
      <c r="K93" s="32" t="n"/>
      <c r="L93" s="32" t="n"/>
      <c r="M93" s="32" t="n"/>
      <c r="N93" s="32" t="n"/>
      <c r="O93" s="32" t="n"/>
    </row>
    <row r="94">
      <c r="A94" s="32" t="n"/>
      <c r="B94" s="32" t="n"/>
      <c r="C94" s="32" t="n"/>
      <c r="D94" s="32" t="n"/>
      <c r="E94" s="32" t="n"/>
      <c r="F94" s="32" t="n"/>
      <c r="G94" s="32" t="n"/>
      <c r="H94" s="32" t="n"/>
      <c r="I94" s="32" t="n"/>
      <c r="J94" s="32" t="n"/>
      <c r="K94" s="32" t="n"/>
      <c r="L94" s="32" t="n"/>
      <c r="M94" s="32" t="n"/>
      <c r="N94" s="32" t="n"/>
      <c r="O94" s="32" t="n"/>
    </row>
    <row r="95">
      <c r="A95" s="32" t="n"/>
      <c r="B95" s="32" t="n"/>
      <c r="C95" s="32" t="n"/>
      <c r="D95" s="32" t="n"/>
      <c r="E95" s="32" t="n"/>
      <c r="F95" s="32" t="n"/>
      <c r="G95" s="32" t="n"/>
      <c r="H95" s="32" t="n"/>
      <c r="I95" s="32" t="n"/>
      <c r="J95" s="32" t="n"/>
      <c r="K95" s="32" t="n"/>
      <c r="L95" s="32" t="n"/>
      <c r="M95" s="32" t="n"/>
      <c r="N95" s="32" t="n"/>
      <c r="O95" s="32" t="n"/>
    </row>
    <row r="96">
      <c r="A96" s="32" t="n"/>
      <c r="B96" s="32" t="n"/>
      <c r="C96" s="32" t="n"/>
      <c r="D96" s="32" t="n"/>
      <c r="E96" s="32" t="n"/>
      <c r="F96" s="32" t="n"/>
      <c r="G96" s="32" t="n"/>
      <c r="H96" s="32" t="n"/>
      <c r="I96" s="32" t="n"/>
      <c r="J96" s="32" t="n"/>
      <c r="K96" s="32" t="n"/>
      <c r="L96" s="32" t="n"/>
      <c r="M96" s="32" t="n"/>
      <c r="N96" s="32" t="n"/>
      <c r="O96" s="32" t="n"/>
    </row>
    <row r="97">
      <c r="A97" s="32" t="n"/>
      <c r="B97" s="32" t="n"/>
      <c r="C97" s="32" t="n"/>
      <c r="D97" s="32" t="n"/>
      <c r="E97" s="32" t="n"/>
      <c r="F97" s="32" t="n"/>
      <c r="G97" s="32" t="n"/>
      <c r="H97" s="32" t="n"/>
      <c r="I97" s="32" t="n"/>
      <c r="J97" s="32" t="n"/>
      <c r="K97" s="32" t="n"/>
      <c r="L97" s="32" t="n"/>
      <c r="M97" s="32" t="n"/>
      <c r="N97" s="32" t="n"/>
      <c r="O97" s="32" t="n"/>
    </row>
    <row r="98">
      <c r="A98" s="32" t="n"/>
      <c r="B98" s="32" t="n"/>
      <c r="C98" s="32" t="n"/>
      <c r="D98" s="32" t="n"/>
      <c r="E98" s="32" t="n"/>
      <c r="F98" s="32" t="n"/>
      <c r="G98" s="32" t="n"/>
      <c r="H98" s="32" t="n"/>
      <c r="I98" s="32" t="n"/>
      <c r="J98" s="32" t="n"/>
      <c r="K98" s="32" t="n"/>
      <c r="L98" s="32" t="n"/>
      <c r="M98" s="32" t="n"/>
      <c r="N98" s="32" t="n"/>
      <c r="O98" s="32" t="n"/>
    </row>
    <row r="99">
      <c r="A99" s="32" t="n"/>
      <c r="B99" s="32" t="n"/>
      <c r="C99" s="32" t="n"/>
      <c r="D99" s="32" t="n"/>
      <c r="E99" s="32" t="n"/>
      <c r="F99" s="32" t="n"/>
      <c r="G99" s="32" t="n"/>
      <c r="H99" s="32" t="n"/>
      <c r="I99" s="32" t="n"/>
      <c r="J99" s="32" t="n"/>
      <c r="K99" s="32" t="n"/>
      <c r="L99" s="32" t="n"/>
      <c r="M99" s="32" t="n"/>
      <c r="N99" s="32" t="n"/>
      <c r="O99" s="32" t="n"/>
    </row>
    <row r="100">
      <c r="A100" s="32" t="n"/>
      <c r="B100" s="32" t="n"/>
      <c r="C100" s="32" t="n"/>
      <c r="D100" s="32" t="n"/>
      <c r="E100" s="32" t="n"/>
      <c r="F100" s="32" t="n"/>
      <c r="G100" s="32" t="n"/>
      <c r="H100" s="32" t="n"/>
      <c r="I100" s="32" t="n"/>
      <c r="J100" s="32" t="n"/>
      <c r="K100" s="32" t="n"/>
      <c r="L100" s="32" t="n"/>
      <c r="M100" s="32" t="n"/>
      <c r="N100" s="32" t="n"/>
      <c r="O100" s="32" t="n"/>
    </row>
    <row r="101">
      <c r="A101" s="32" t="n"/>
      <c r="B101" s="32" t="n"/>
      <c r="C101" s="32" t="n"/>
      <c r="D101" s="32" t="n"/>
      <c r="E101" s="32" t="n"/>
      <c r="F101" s="32" t="n"/>
      <c r="G101" s="32" t="n"/>
      <c r="H101" s="32" t="n"/>
      <c r="I101" s="32" t="n"/>
      <c r="J101" s="32" t="n"/>
      <c r="K101" s="32" t="n"/>
      <c r="L101" s="32" t="n"/>
      <c r="M101" s="32" t="n"/>
      <c r="N101" s="32" t="n"/>
      <c r="O101" s="32" t="n"/>
    </row>
    <row r="102">
      <c r="A102" s="32" t="n"/>
      <c r="B102" s="32" t="n"/>
      <c r="C102" s="32" t="n"/>
      <c r="D102" s="32" t="n"/>
      <c r="E102" s="32" t="n"/>
      <c r="F102" s="32" t="n"/>
      <c r="G102" s="32" t="n"/>
      <c r="H102" s="32" t="n"/>
      <c r="I102" s="32" t="n"/>
      <c r="J102" s="32" t="n"/>
      <c r="K102" s="32" t="n"/>
      <c r="L102" s="32" t="n"/>
      <c r="M102" s="32" t="n"/>
      <c r="N102" s="32" t="n"/>
      <c r="O102" s="32" t="n"/>
    </row>
    <row r="103">
      <c r="A103" s="32" t="n"/>
      <c r="B103" s="32" t="n"/>
      <c r="C103" s="32" t="n"/>
      <c r="D103" s="32" t="n"/>
      <c r="E103" s="32" t="n"/>
      <c r="F103" s="32" t="n"/>
      <c r="G103" s="32" t="n"/>
      <c r="H103" s="32" t="n"/>
      <c r="I103" s="32" t="n"/>
      <c r="J103" s="32" t="n"/>
      <c r="K103" s="32" t="n"/>
      <c r="L103" s="32" t="n"/>
      <c r="M103" s="32" t="n"/>
      <c r="N103" s="32" t="n"/>
      <c r="O103" s="32" t="n"/>
    </row>
    <row r="104">
      <c r="A104" s="32" t="n"/>
      <c r="B104" s="32" t="n"/>
      <c r="C104" s="32" t="n"/>
      <c r="D104" s="32" t="n"/>
      <c r="E104" s="32" t="n"/>
      <c r="F104" s="32" t="n"/>
      <c r="G104" s="32" t="n"/>
      <c r="H104" s="32" t="n"/>
      <c r="I104" s="32" t="n"/>
      <c r="J104" s="32" t="n"/>
      <c r="K104" s="32" t="n"/>
      <c r="L104" s="32" t="n"/>
      <c r="M104" s="32" t="n"/>
      <c r="N104" s="32" t="n"/>
      <c r="O104" s="32" t="n"/>
    </row>
    <row r="105">
      <c r="A105" s="32" t="n"/>
      <c r="B105" s="32" t="n"/>
      <c r="C105" s="32" t="n"/>
      <c r="D105" s="32" t="n"/>
      <c r="E105" s="32" t="n"/>
      <c r="F105" s="32" t="n"/>
      <c r="G105" s="32" t="n"/>
      <c r="H105" s="32" t="n"/>
      <c r="I105" s="32" t="n"/>
      <c r="J105" s="32" t="n"/>
      <c r="K105" s="32" t="n"/>
      <c r="L105" s="32" t="n"/>
      <c r="M105" s="32" t="n"/>
      <c r="N105" s="32" t="n"/>
      <c r="O105" s="32" t="n"/>
    </row>
    <row r="106">
      <c r="A106" s="32" t="n"/>
      <c r="B106" s="32" t="n"/>
      <c r="C106" s="32" t="n"/>
      <c r="D106" s="32" t="n"/>
      <c r="E106" s="32" t="n"/>
      <c r="F106" s="32" t="n"/>
      <c r="G106" s="32" t="n"/>
      <c r="H106" s="32" t="n"/>
      <c r="I106" s="32" t="n"/>
      <c r="J106" s="32" t="n"/>
      <c r="K106" s="32" t="n"/>
      <c r="L106" s="32" t="n"/>
      <c r="M106" s="32" t="n"/>
      <c r="N106" s="32" t="n"/>
      <c r="O106" s="32" t="n"/>
    </row>
    <row r="107">
      <c r="A107" s="32" t="n"/>
      <c r="B107" s="32" t="n"/>
      <c r="C107" s="32" t="n"/>
      <c r="D107" s="32" t="n"/>
      <c r="E107" s="32" t="n"/>
      <c r="F107" s="32" t="n"/>
      <c r="G107" s="32" t="n"/>
      <c r="H107" s="32" t="n"/>
      <c r="I107" s="32" t="n"/>
      <c r="J107" s="32" t="n"/>
      <c r="K107" s="32" t="n"/>
      <c r="L107" s="32" t="n"/>
      <c r="M107" s="32" t="n"/>
      <c r="N107" s="32" t="n"/>
      <c r="O107" s="32" t="n"/>
    </row>
    <row r="108">
      <c r="A108" s="32" t="n"/>
      <c r="B108" s="32" t="n"/>
      <c r="C108" s="32" t="n"/>
      <c r="D108" s="32" t="n"/>
      <c r="E108" s="32" t="n"/>
      <c r="F108" s="32" t="n"/>
      <c r="G108" s="32" t="n"/>
      <c r="H108" s="32" t="n"/>
      <c r="I108" s="32" t="n"/>
      <c r="J108" s="32" t="n"/>
      <c r="K108" s="32" t="n"/>
      <c r="L108" s="32" t="n"/>
      <c r="M108" s="32" t="n"/>
      <c r="N108" s="32" t="n"/>
      <c r="O108" s="32" t="n"/>
    </row>
    <row r="109">
      <c r="A109" s="32" t="n"/>
      <c r="B109" s="32" t="n"/>
      <c r="C109" s="32" t="n"/>
      <c r="D109" s="32" t="n"/>
      <c r="E109" s="32" t="n"/>
      <c r="F109" s="32" t="n"/>
      <c r="G109" s="32" t="n"/>
      <c r="H109" s="32" t="n"/>
      <c r="I109" s="32" t="n"/>
      <c r="J109" s="32" t="n"/>
      <c r="K109" s="32" t="n"/>
      <c r="L109" s="32" t="n"/>
      <c r="M109" s="32" t="n"/>
      <c r="N109" s="32" t="n"/>
      <c r="O109" s="32" t="n"/>
    </row>
    <row r="110">
      <c r="A110" s="32" t="n"/>
      <c r="B110" s="32" t="n"/>
      <c r="C110" s="32" t="n"/>
      <c r="D110" s="32" t="n"/>
      <c r="E110" s="32" t="n"/>
      <c r="F110" s="32" t="n"/>
      <c r="G110" s="32" t="n"/>
      <c r="H110" s="32" t="n"/>
      <c r="I110" s="32" t="n"/>
      <c r="J110" s="32" t="n"/>
      <c r="K110" s="32" t="n"/>
      <c r="L110" s="32" t="n"/>
      <c r="M110" s="32" t="n"/>
      <c r="N110" s="32" t="n"/>
      <c r="O110" s="32" t="n"/>
    </row>
    <row r="111">
      <c r="A111" s="32" t="n"/>
      <c r="B111" s="32" t="n"/>
      <c r="C111" s="32" t="n"/>
      <c r="D111" s="32" t="n"/>
      <c r="E111" s="32" t="n"/>
      <c r="F111" s="32" t="n"/>
      <c r="G111" s="32" t="n"/>
      <c r="H111" s="32" t="n"/>
      <c r="I111" s="32" t="n"/>
      <c r="J111" s="32" t="n"/>
      <c r="K111" s="32" t="n"/>
      <c r="L111" s="32" t="n"/>
      <c r="M111" s="32" t="n"/>
      <c r="N111" s="32" t="n"/>
      <c r="O111" s="32" t="n"/>
    </row>
    <row r="112">
      <c r="A112" s="32" t="n"/>
      <c r="B112" s="32" t="n"/>
      <c r="C112" s="32" t="n"/>
      <c r="D112" s="32" t="n"/>
      <c r="E112" s="32" t="n"/>
      <c r="F112" s="32" t="n"/>
      <c r="G112" s="32" t="n"/>
      <c r="H112" s="32" t="n"/>
      <c r="I112" s="32" t="n"/>
      <c r="J112" s="32" t="n"/>
      <c r="K112" s="32" t="n"/>
      <c r="L112" s="32" t="n"/>
      <c r="M112" s="32" t="n"/>
      <c r="N112" s="32" t="n"/>
      <c r="O112" s="32" t="n"/>
    </row>
    <row r="113">
      <c r="A113" s="32" t="n"/>
      <c r="B113" s="32" t="n"/>
      <c r="C113" s="32" t="n"/>
      <c r="D113" s="32" t="n"/>
      <c r="E113" s="32" t="n"/>
      <c r="F113" s="32" t="n"/>
      <c r="G113" s="32" t="n"/>
      <c r="H113" s="32" t="n"/>
      <c r="I113" s="32" t="n"/>
      <c r="J113" s="32" t="n"/>
      <c r="K113" s="32" t="n"/>
      <c r="L113" s="32" t="n"/>
      <c r="M113" s="32" t="n"/>
      <c r="N113" s="32" t="n"/>
      <c r="O113" s="32" t="n"/>
    </row>
    <row r="114">
      <c r="A114" s="32" t="n"/>
      <c r="B114" s="32" t="n"/>
      <c r="C114" s="32" t="n"/>
      <c r="D114" s="32" t="n"/>
      <c r="E114" s="32" t="n"/>
      <c r="F114" s="32" t="n"/>
      <c r="G114" s="32" t="n"/>
      <c r="H114" s="32" t="n"/>
      <c r="I114" s="32" t="n"/>
      <c r="J114" s="32" t="n"/>
      <c r="K114" s="32" t="n"/>
      <c r="L114" s="32" t="n"/>
      <c r="M114" s="32" t="n"/>
      <c r="N114" s="32" t="n"/>
      <c r="O114" s="32" t="n"/>
    </row>
    <row r="115">
      <c r="A115" s="32" t="n"/>
      <c r="B115" s="32" t="n"/>
      <c r="C115" s="32" t="n"/>
      <c r="D115" s="32" t="n"/>
      <c r="E115" s="32" t="n"/>
      <c r="F115" s="32" t="n"/>
      <c r="G115" s="32" t="n"/>
      <c r="H115" s="32" t="n"/>
      <c r="I115" s="32" t="n"/>
      <c r="J115" s="32" t="n"/>
      <c r="K115" s="32" t="n"/>
      <c r="L115" s="32" t="n"/>
      <c r="M115" s="32" t="n"/>
      <c r="N115" s="32" t="n"/>
      <c r="O115" s="32" t="n"/>
    </row>
    <row r="116">
      <c r="A116" s="32" t="n"/>
      <c r="B116" s="32" t="n"/>
      <c r="C116" s="32" t="n"/>
      <c r="D116" s="32" t="n"/>
      <c r="E116" s="32" t="n"/>
      <c r="F116" s="32" t="n"/>
      <c r="G116" s="32" t="n"/>
      <c r="H116" s="32" t="n"/>
      <c r="I116" s="32" t="n"/>
      <c r="J116" s="32" t="n"/>
      <c r="K116" s="32" t="n"/>
      <c r="L116" s="32" t="n"/>
      <c r="M116" s="32" t="n"/>
      <c r="N116" s="32" t="n"/>
      <c r="O116" s="32" t="n"/>
    </row>
    <row r="117">
      <c r="A117" s="32" t="n"/>
      <c r="B117" s="32" t="n"/>
      <c r="C117" s="32" t="n"/>
      <c r="D117" s="32" t="n"/>
      <c r="E117" s="32" t="n"/>
      <c r="F117" s="32" t="n"/>
      <c r="G117" s="32" t="n"/>
      <c r="H117" s="32" t="n"/>
      <c r="I117" s="32" t="n"/>
      <c r="J117" s="32" t="n"/>
      <c r="K117" s="32" t="n"/>
      <c r="L117" s="32" t="n"/>
      <c r="M117" s="32" t="n"/>
      <c r="N117" s="32" t="n"/>
      <c r="O117" s="32" t="n"/>
    </row>
    <row r="118">
      <c r="A118" s="32" t="n"/>
      <c r="B118" s="32" t="n"/>
      <c r="C118" s="32" t="n"/>
      <c r="D118" s="32" t="n"/>
      <c r="E118" s="32" t="n"/>
      <c r="F118" s="32" t="n"/>
      <c r="G118" s="32" t="n"/>
      <c r="H118" s="32" t="n"/>
      <c r="I118" s="32" t="n"/>
      <c r="J118" s="32" t="n"/>
      <c r="K118" s="32" t="n"/>
      <c r="L118" s="32" t="n"/>
      <c r="M118" s="32" t="n"/>
      <c r="N118" s="32" t="n"/>
      <c r="O118" s="32" t="n"/>
    </row>
    <row r="119">
      <c r="A119" s="32" t="n"/>
      <c r="B119" s="32" t="n"/>
      <c r="C119" s="32" t="n"/>
      <c r="D119" s="32" t="n"/>
      <c r="E119" s="32" t="n"/>
      <c r="F119" s="32" t="n"/>
      <c r="G119" s="32" t="n"/>
      <c r="H119" s="32" t="n"/>
      <c r="I119" s="32" t="n"/>
      <c r="J119" s="32" t="n"/>
      <c r="K119" s="32" t="n"/>
      <c r="L119" s="32" t="n"/>
      <c r="M119" s="32" t="n"/>
      <c r="N119" s="32" t="n"/>
      <c r="O119" s="32" t="n"/>
    </row>
    <row r="120">
      <c r="A120" s="32" t="n"/>
      <c r="B120" s="32" t="n"/>
      <c r="C120" s="32" t="n"/>
      <c r="D120" s="32" t="n"/>
      <c r="E120" s="32" t="n"/>
      <c r="F120" s="32" t="n"/>
      <c r="G120" s="32" t="n"/>
      <c r="H120" s="32" t="n"/>
      <c r="I120" s="32" t="n"/>
      <c r="J120" s="32" t="n"/>
      <c r="K120" s="32" t="n"/>
      <c r="L120" s="32" t="n"/>
      <c r="M120" s="32" t="n"/>
      <c r="N120" s="32" t="n"/>
      <c r="O120" s="32" t="n"/>
    </row>
  </sheetData>
  <mergeCells count="2">
    <mergeCell ref="A1:O1"/>
    <mergeCell ref="A2:O2"/>
  </mergeCells>
  <conditionalFormatting sqref="G5:G120">
    <cfRule type="expression" priority="1" dxfId="0">
      <formula>G5="PASS"</formula>
    </cfRule>
    <cfRule type="expression" priority="2" dxfId="1">
      <formula>G5="FAIL"</formula>
    </cfRule>
    <cfRule type="expression" priority="3" dxfId="2">
      <formula>G5="RETEST REQUIRED"</formula>
    </cfRule>
    <cfRule type="expression" priority="4" dxfId="3">
      <formula>G5="BLOCKED"</formula>
    </cfRule>
    <cfRule type="expression" priority="5" dxfId="4">
      <formula>G5="PENDING"</formula>
    </cfRule>
  </conditionalFormatting>
  <conditionalFormatting sqref="K5:K120">
    <cfRule type="expression" priority="6" dxfId="5">
      <formula>K5="Critical"</formula>
    </cfRule>
    <cfRule type="expression" priority="7" dxfId="3">
      <formula>K5="High"</formula>
    </cfRule>
    <cfRule type="expression" priority="8" dxfId="2">
      <formula>K5="Medium"</formula>
    </cfRule>
  </conditionalFormatting>
  <dataValidations count="4">
    <dataValidation sqref="G5:G120" showDropDown="0" showInputMessage="0" showErrorMessage="0" allowBlank="0" type="list">
      <formula1>"PENDING,PASS,FAIL,N/A,RETEST REQUIRED,BLOCKED"</formula1>
    </dataValidation>
    <dataValidation sqref="K5:K120" showDropDown="0" showInputMessage="0" showErrorMessage="0" allowBlank="0" type="list">
      <formula1>"Low,Medium,High,Critical"</formula1>
    </dataValidation>
    <dataValidation sqref="L5:L120" showDropDown="0" showInputMessage="0" showErrorMessage="0" allowBlank="0" type="list">
      <formula1>"Hardik,Manus,ChatGPT,Hardware,Home Assistant,LocalTuya,Firmware,Other"</formula1>
    </dataValidation>
    <dataValidation sqref="M5:N120" showDropDown="0" showInputMessage="0" showErrorMessage="0" allowBlank="0" type="list">
      <formula1>"Yes,No,N/A"</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O140"/>
  <sheetViews>
    <sheetView workbookViewId="0">
      <pane ySplit="4" topLeftCell="A5" activePane="bottomLeft" state="frozen"/>
      <selection pane="bottomLeft" activeCell="A1" sqref="A1"/>
    </sheetView>
  </sheetViews>
  <sheetFormatPr baseColWidth="8" defaultRowHeight="15"/>
  <cols>
    <col width="9" customWidth="1" min="1" max="1"/>
    <col width="29" customWidth="1" min="2" max="2"/>
    <col width="12" customWidth="1" min="3" max="3"/>
    <col width="25" customWidth="1" min="4" max="4"/>
    <col width="40" customWidth="1" min="5" max="5"/>
    <col width="33" customWidth="1" min="6" max="6"/>
    <col width="9" customWidth="1" min="7" max="7"/>
    <col width="15" customWidth="1" min="8" max="8"/>
    <col width="13" customWidth="1" min="9" max="9"/>
    <col width="14" customWidth="1" min="10" max="10"/>
    <col width="10" customWidth="1" min="11" max="11"/>
    <col width="16" customWidth="1" min="12" max="12"/>
    <col width="11" customWidth="1" min="13" max="13"/>
    <col width="16" customWidth="1" min="14" max="14"/>
    <col width="13" customWidth="1" min="15" max="15"/>
  </cols>
  <sheetData>
    <row r="1" ht="28" customHeight="1">
      <c r="A1" s="50" t="inlineStr">
        <is>
          <t>Stage 1 — Raspberry Pi / Home Assistant Setup</t>
        </is>
      </c>
      <c r="B1" s="51" t="n"/>
      <c r="C1" s="51" t="n"/>
      <c r="D1" s="51" t="n"/>
      <c r="E1" s="51" t="n"/>
      <c r="F1" s="51" t="n"/>
      <c r="G1" s="51" t="n"/>
      <c r="H1" s="51" t="n"/>
      <c r="I1" s="51" t="n"/>
      <c r="J1" s="51" t="n"/>
      <c r="K1" s="51" t="n"/>
      <c r="L1" s="51" t="n"/>
      <c r="M1" s="51" t="n"/>
      <c r="N1" s="51" t="n"/>
      <c r="O1" s="51" t="n"/>
    </row>
    <row r="2" ht="36" customHeight="1">
      <c r="A2" s="52" t="inlineStr">
        <is>
          <t>Follow each step in order. If HA dashboard does not load, stop and fix network/Pi before continuing.</t>
        </is>
      </c>
      <c r="B2" s="53" t="n"/>
      <c r="C2" s="53" t="n"/>
      <c r="D2" s="53" t="n"/>
      <c r="E2" s="53" t="n"/>
      <c r="F2" s="53" t="n"/>
      <c r="G2" s="53" t="n"/>
      <c r="H2" s="53" t="n"/>
      <c r="I2" s="53" t="n"/>
      <c r="J2" s="53" t="n"/>
      <c r="K2" s="53" t="n"/>
      <c r="L2" s="53" t="n"/>
      <c r="M2" s="53" t="n"/>
      <c r="N2" s="53" t="n"/>
      <c r="O2" s="53" t="n"/>
    </row>
    <row r="4" ht="36" customHeight="1">
      <c r="A4" s="42" t="inlineStr">
        <is>
          <t>Step ID</t>
        </is>
      </c>
      <c r="B4" s="42" t="inlineStr">
        <is>
          <t>Stage</t>
        </is>
      </c>
      <c r="C4" s="42" t="inlineStr">
        <is>
          <t>Category</t>
        </is>
      </c>
      <c r="D4" s="42" t="inlineStr">
        <is>
          <t>Step / Test</t>
        </is>
      </c>
      <c r="E4" s="42" t="inlineStr">
        <is>
          <t>Command / Action</t>
        </is>
      </c>
      <c r="F4" s="42" t="inlineStr">
        <is>
          <t>Expected Result</t>
        </is>
      </c>
      <c r="G4" s="42" t="inlineStr">
        <is>
          <t>Status</t>
        </is>
      </c>
      <c r="H4" s="42" t="inlineStr">
        <is>
          <t>Actual Result</t>
        </is>
      </c>
      <c r="I4" s="42" t="inlineStr">
        <is>
          <t>Observation</t>
        </is>
      </c>
      <c r="J4" s="42" t="inlineStr">
        <is>
          <t>Evidence Ref</t>
        </is>
      </c>
      <c r="K4" s="42" t="inlineStr">
        <is>
          <t>Severity</t>
        </is>
      </c>
      <c r="L4" s="42" t="inlineStr">
        <is>
          <t>Owner</t>
        </is>
      </c>
      <c r="M4" s="42" t="inlineStr">
        <is>
          <t>Blocking?</t>
        </is>
      </c>
      <c r="N4" s="42" t="inlineStr">
        <is>
          <t>AI Fix Needed?</t>
        </is>
      </c>
      <c r="O4" s="42" t="inlineStr">
        <is>
          <t>Next Action</t>
        </is>
      </c>
    </row>
    <row r="5">
      <c r="A5" s="54" t="inlineStr">
        <is>
          <t>RPI-01</t>
        </is>
      </c>
      <c r="B5" s="44" t="inlineStr">
        <is>
          <t>Stage 1 — Raspberry Pi / HA</t>
        </is>
      </c>
      <c r="C5" s="44" t="inlineStr">
        <is>
          <t>Flash</t>
        </is>
      </c>
      <c r="D5" s="44" t="inlineStr">
        <is>
          <t>Flash Home Assistant OS</t>
        </is>
      </c>
      <c r="E5" s="44" t="inlineStr">
        <is>
          <t>Use Raspberry Pi Imager to flash HA OS to microSD</t>
        </is>
      </c>
      <c r="F5" s="44" t="inlineStr">
        <is>
          <t>Flash completes successfully</t>
        </is>
      </c>
      <c r="G5" s="55" t="inlineStr">
        <is>
          <t>PENDING</t>
        </is>
      </c>
      <c r="H5" s="44" t="str"/>
      <c r="I5" s="44" t="str"/>
      <c r="J5" s="44" t="str"/>
      <c r="K5" s="56" t="inlineStr">
        <is>
          <t>High</t>
        </is>
      </c>
      <c r="L5" s="44" t="inlineStr">
        <is>
          <t>Hardik</t>
        </is>
      </c>
      <c r="M5" s="44" t="inlineStr">
        <is>
          <t>Yes</t>
        </is>
      </c>
      <c r="N5" s="44" t="inlineStr">
        <is>
          <t>No</t>
        </is>
      </c>
      <c r="O5" s="44" t="str"/>
    </row>
    <row r="6">
      <c r="A6" s="57" t="inlineStr">
        <is>
          <t>RPI-02</t>
        </is>
      </c>
      <c r="B6" s="43" t="inlineStr">
        <is>
          <t>Stage 1 — Raspberry Pi / HA</t>
        </is>
      </c>
      <c r="C6" s="43" t="inlineStr">
        <is>
          <t>Boot</t>
        </is>
      </c>
      <c r="D6" s="43" t="inlineStr">
        <is>
          <t>Boot Raspberry Pi</t>
        </is>
      </c>
      <c r="E6" s="43" t="inlineStr">
        <is>
          <t>Insert microSD, connect network, power Pi</t>
        </is>
      </c>
      <c r="F6" s="43" t="inlineStr">
        <is>
          <t>Pi boots without visible errors</t>
        </is>
      </c>
      <c r="G6" s="55" t="inlineStr">
        <is>
          <t>PENDING</t>
        </is>
      </c>
      <c r="H6" s="43" t="str"/>
      <c r="I6" s="43" t="str"/>
      <c r="J6" s="43" t="str"/>
      <c r="K6" s="58" t="inlineStr">
        <is>
          <t>High</t>
        </is>
      </c>
      <c r="L6" s="43" t="inlineStr">
        <is>
          <t>Hardik</t>
        </is>
      </c>
      <c r="M6" s="43" t="inlineStr">
        <is>
          <t>Yes</t>
        </is>
      </c>
      <c r="N6" s="43" t="inlineStr">
        <is>
          <t>No</t>
        </is>
      </c>
      <c r="O6" s="43" t="str"/>
    </row>
    <row r="7">
      <c r="A7" s="54" t="inlineStr">
        <is>
          <t>RPI-03</t>
        </is>
      </c>
      <c r="B7" s="44" t="inlineStr">
        <is>
          <t>Stage 1 — Raspberry Pi / HA</t>
        </is>
      </c>
      <c r="C7" s="44" t="inlineStr">
        <is>
          <t>Network</t>
        </is>
      </c>
      <c r="D7" s="44" t="inlineStr">
        <is>
          <t>Find HA URL/IP</t>
        </is>
      </c>
      <c r="E7" s="44" t="inlineStr">
        <is>
          <t>Open homeassistant.local:8123 or router IP:8123</t>
        </is>
      </c>
      <c r="F7" s="44" t="inlineStr">
        <is>
          <t>HA onboarding page loads</t>
        </is>
      </c>
      <c r="G7" s="55" t="inlineStr">
        <is>
          <t>PENDING</t>
        </is>
      </c>
      <c r="H7" s="44" t="str"/>
      <c r="I7" s="44" t="str"/>
      <c r="J7" s="44" t="str"/>
      <c r="K7" s="60" t="inlineStr">
        <is>
          <t>Critical</t>
        </is>
      </c>
      <c r="L7" s="44" t="inlineStr">
        <is>
          <t>Home Assistant</t>
        </is>
      </c>
      <c r="M7" s="44" t="inlineStr">
        <is>
          <t>Yes</t>
        </is>
      </c>
      <c r="N7" s="44" t="inlineStr">
        <is>
          <t>No</t>
        </is>
      </c>
      <c r="O7" s="44" t="str"/>
    </row>
    <row r="8">
      <c r="A8" s="57" t="inlineStr">
        <is>
          <t>RPI-04</t>
        </is>
      </c>
      <c r="B8" s="43" t="inlineStr">
        <is>
          <t>Stage 1 — Raspberry Pi / HA</t>
        </is>
      </c>
      <c r="C8" s="43" t="inlineStr">
        <is>
          <t>Account</t>
        </is>
      </c>
      <c r="D8" s="43" t="inlineStr">
        <is>
          <t>Create HA owner account</t>
        </is>
      </c>
      <c r="E8" s="43" t="inlineStr">
        <is>
          <t>Complete HA onboarding</t>
        </is>
      </c>
      <c r="F8" s="43" t="inlineStr">
        <is>
          <t>Dashboard loads after sign-in</t>
        </is>
      </c>
      <c r="G8" s="55" t="inlineStr">
        <is>
          <t>PENDING</t>
        </is>
      </c>
      <c r="H8" s="43" t="str"/>
      <c r="I8" s="43" t="str"/>
      <c r="J8" s="43" t="str"/>
      <c r="K8" s="58" t="inlineStr">
        <is>
          <t>High</t>
        </is>
      </c>
      <c r="L8" s="43" t="inlineStr">
        <is>
          <t>Home Assistant</t>
        </is>
      </c>
      <c r="M8" s="43" t="inlineStr">
        <is>
          <t>Yes</t>
        </is>
      </c>
      <c r="N8" s="43" t="inlineStr">
        <is>
          <t>No</t>
        </is>
      </c>
      <c r="O8" s="43" t="str"/>
    </row>
    <row r="9">
      <c r="A9" s="54" t="inlineStr">
        <is>
          <t>RPI-05</t>
        </is>
      </c>
      <c r="B9" s="44" t="inlineStr">
        <is>
          <t>Stage 1 — Raspberry Pi / HA</t>
        </is>
      </c>
      <c r="C9" s="44" t="inlineStr">
        <is>
          <t>Checkpoint</t>
        </is>
      </c>
      <c r="D9" s="44" t="inlineStr">
        <is>
          <t>Save HA access evidence</t>
        </is>
      </c>
      <c r="E9" s="44" t="inlineStr">
        <is>
          <t>Take screenshot/photo of HA dashboard</t>
        </is>
      </c>
      <c r="F9" s="44" t="inlineStr">
        <is>
          <t>Evidence logged</t>
        </is>
      </c>
      <c r="G9" s="55" t="inlineStr">
        <is>
          <t>PENDING</t>
        </is>
      </c>
      <c r="H9" s="44" t="str"/>
      <c r="I9" s="44" t="str"/>
      <c r="J9" s="44" t="str"/>
      <c r="K9" s="44" t="inlineStr">
        <is>
          <t>Medium</t>
        </is>
      </c>
      <c r="L9" s="44" t="inlineStr">
        <is>
          <t>Hardik</t>
        </is>
      </c>
      <c r="M9" s="44" t="inlineStr">
        <is>
          <t>No</t>
        </is>
      </c>
      <c r="N9" s="44" t="inlineStr">
        <is>
          <t>No</t>
        </is>
      </c>
      <c r="O9" s="44" t="str"/>
    </row>
    <row r="10">
      <c r="A10" s="32" t="n"/>
      <c r="B10" s="32" t="n"/>
      <c r="C10" s="32" t="n"/>
      <c r="D10" s="32" t="n"/>
      <c r="E10" s="32" t="n"/>
      <c r="F10" s="32" t="n"/>
      <c r="G10" s="32" t="n"/>
      <c r="H10" s="32" t="n"/>
      <c r="I10" s="32" t="n"/>
      <c r="J10" s="32" t="n"/>
      <c r="K10" s="32" t="n"/>
      <c r="L10" s="32" t="n"/>
      <c r="M10" s="32" t="n"/>
      <c r="N10" s="32" t="n"/>
      <c r="O10" s="32" t="n"/>
    </row>
    <row r="11">
      <c r="A11" s="32" t="n"/>
      <c r="B11" s="32" t="n"/>
      <c r="C11" s="32" t="n"/>
      <c r="D11" s="32" t="n"/>
      <c r="E11" s="32" t="n"/>
      <c r="F11" s="32" t="n"/>
      <c r="G11" s="32" t="n"/>
      <c r="H11" s="32" t="n"/>
      <c r="I11" s="32" t="n"/>
      <c r="J11" s="32" t="n"/>
      <c r="K11" s="32" t="n"/>
      <c r="L11" s="32" t="n"/>
      <c r="M11" s="32" t="n"/>
      <c r="N11" s="32" t="n"/>
      <c r="O11" s="32" t="n"/>
    </row>
    <row r="12">
      <c r="A12" s="32" t="n"/>
      <c r="B12" s="32" t="n"/>
      <c r="C12" s="32" t="n"/>
      <c r="D12" s="32" t="n"/>
      <c r="E12" s="32" t="n"/>
      <c r="F12" s="32" t="n"/>
      <c r="G12" s="32" t="n"/>
      <c r="H12" s="32" t="n"/>
      <c r="I12" s="32" t="n"/>
      <c r="J12" s="32" t="n"/>
      <c r="K12" s="32" t="n"/>
      <c r="L12" s="32" t="n"/>
      <c r="M12" s="32" t="n"/>
      <c r="N12" s="32" t="n"/>
      <c r="O12" s="32" t="n"/>
    </row>
    <row r="13">
      <c r="A13" s="32" t="n"/>
      <c r="B13" s="32" t="n"/>
      <c r="C13" s="32" t="n"/>
      <c r="D13" s="32" t="n"/>
      <c r="E13" s="32" t="n"/>
      <c r="F13" s="32" t="n"/>
      <c r="G13" s="32" t="n"/>
      <c r="H13" s="32" t="n"/>
      <c r="I13" s="32" t="n"/>
      <c r="J13" s="32" t="n"/>
      <c r="K13" s="32" t="n"/>
      <c r="L13" s="32" t="n"/>
      <c r="M13" s="32" t="n"/>
      <c r="N13" s="32" t="n"/>
      <c r="O13" s="32" t="n"/>
    </row>
    <row r="14">
      <c r="A14" s="32" t="n"/>
      <c r="B14" s="32" t="n"/>
      <c r="C14" s="32" t="n"/>
      <c r="D14" s="32" t="n"/>
      <c r="E14" s="32" t="n"/>
      <c r="F14" s="32" t="n"/>
      <c r="G14" s="32" t="n"/>
      <c r="H14" s="32" t="n"/>
      <c r="I14" s="32" t="n"/>
      <c r="J14" s="32" t="n"/>
      <c r="K14" s="32" t="n"/>
      <c r="L14" s="32" t="n"/>
      <c r="M14" s="32" t="n"/>
      <c r="N14" s="32" t="n"/>
      <c r="O14" s="32" t="n"/>
    </row>
    <row r="15">
      <c r="A15" s="32" t="n"/>
      <c r="B15" s="32" t="n"/>
      <c r="C15" s="32" t="n"/>
      <c r="D15" s="32" t="n"/>
      <c r="E15" s="32" t="n"/>
      <c r="F15" s="32" t="n"/>
      <c r="G15" s="32" t="n"/>
      <c r="H15" s="32" t="n"/>
      <c r="I15" s="32" t="n"/>
      <c r="J15" s="32" t="n"/>
      <c r="K15" s="32" t="n"/>
      <c r="L15" s="32" t="n"/>
      <c r="M15" s="32" t="n"/>
      <c r="N15" s="32" t="n"/>
      <c r="O15" s="32" t="n"/>
    </row>
    <row r="16">
      <c r="A16" s="32" t="n"/>
      <c r="B16" s="32" t="n"/>
      <c r="C16" s="32" t="n"/>
      <c r="D16" s="32" t="n"/>
      <c r="E16" s="32" t="n"/>
      <c r="F16" s="32" t="n"/>
      <c r="G16" s="32" t="n"/>
      <c r="H16" s="32" t="n"/>
      <c r="I16" s="32" t="n"/>
      <c r="J16" s="32" t="n"/>
      <c r="K16" s="32" t="n"/>
      <c r="L16" s="32" t="n"/>
      <c r="M16" s="32" t="n"/>
      <c r="N16" s="32" t="n"/>
      <c r="O16" s="32" t="n"/>
    </row>
    <row r="17">
      <c r="A17" s="32" t="n"/>
      <c r="B17" s="32" t="n"/>
      <c r="C17" s="32" t="n"/>
      <c r="D17" s="32" t="n"/>
      <c r="E17" s="32" t="n"/>
      <c r="F17" s="32" t="n"/>
      <c r="G17" s="32" t="n"/>
      <c r="H17" s="32" t="n"/>
      <c r="I17" s="32" t="n"/>
      <c r="J17" s="32" t="n"/>
      <c r="K17" s="32" t="n"/>
      <c r="L17" s="32" t="n"/>
      <c r="M17" s="32" t="n"/>
      <c r="N17" s="32" t="n"/>
      <c r="O17" s="32" t="n"/>
    </row>
    <row r="18">
      <c r="A18" s="32" t="n"/>
      <c r="B18" s="32" t="n"/>
      <c r="C18" s="32" t="n"/>
      <c r="D18" s="32" t="n"/>
      <c r="E18" s="32" t="n"/>
      <c r="F18" s="32" t="n"/>
      <c r="G18" s="32" t="n"/>
      <c r="H18" s="32" t="n"/>
      <c r="I18" s="32" t="n"/>
      <c r="J18" s="32" t="n"/>
      <c r="K18" s="32" t="n"/>
      <c r="L18" s="32" t="n"/>
      <c r="M18" s="32" t="n"/>
      <c r="N18" s="32" t="n"/>
      <c r="O18" s="32" t="n"/>
    </row>
    <row r="19">
      <c r="A19" s="32" t="n"/>
      <c r="B19" s="32" t="n"/>
      <c r="C19" s="32" t="n"/>
      <c r="D19" s="32" t="n"/>
      <c r="E19" s="32" t="n"/>
      <c r="F19" s="32" t="n"/>
      <c r="G19" s="32" t="n"/>
      <c r="H19" s="32" t="n"/>
      <c r="I19" s="32" t="n"/>
      <c r="J19" s="32" t="n"/>
      <c r="K19" s="32" t="n"/>
      <c r="L19" s="32" t="n"/>
      <c r="M19" s="32" t="n"/>
      <c r="N19" s="32" t="n"/>
      <c r="O19" s="32" t="n"/>
    </row>
    <row r="20">
      <c r="A20" s="32" t="n"/>
      <c r="B20" s="32" t="n"/>
      <c r="C20" s="32" t="n"/>
      <c r="D20" s="32" t="n"/>
      <c r="E20" s="32" t="n"/>
      <c r="F20" s="32" t="n"/>
      <c r="G20" s="32" t="n"/>
      <c r="H20" s="32" t="n"/>
      <c r="I20" s="32" t="n"/>
      <c r="J20" s="32" t="n"/>
      <c r="K20" s="32" t="n"/>
      <c r="L20" s="32" t="n"/>
      <c r="M20" s="32" t="n"/>
      <c r="N20" s="32" t="n"/>
      <c r="O20" s="32" t="n"/>
    </row>
    <row r="21">
      <c r="A21" s="32" t="n"/>
      <c r="B21" s="32" t="n"/>
      <c r="C21" s="32" t="n"/>
      <c r="D21" s="32" t="n"/>
      <c r="E21" s="32" t="n"/>
      <c r="F21" s="32" t="n"/>
      <c r="G21" s="32" t="n"/>
      <c r="H21" s="32" t="n"/>
      <c r="I21" s="32" t="n"/>
      <c r="J21" s="32" t="n"/>
      <c r="K21" s="32" t="n"/>
      <c r="L21" s="32" t="n"/>
      <c r="M21" s="32" t="n"/>
      <c r="N21" s="32" t="n"/>
      <c r="O21" s="32" t="n"/>
    </row>
    <row r="22">
      <c r="A22" s="32" t="n"/>
      <c r="B22" s="32" t="n"/>
      <c r="C22" s="32" t="n"/>
      <c r="D22" s="32" t="n"/>
      <c r="E22" s="32" t="n"/>
      <c r="F22" s="32" t="n"/>
      <c r="G22" s="32" t="n"/>
      <c r="H22" s="32" t="n"/>
      <c r="I22" s="32" t="n"/>
      <c r="J22" s="32" t="n"/>
      <c r="K22" s="32" t="n"/>
      <c r="L22" s="32" t="n"/>
      <c r="M22" s="32" t="n"/>
      <c r="N22" s="32" t="n"/>
      <c r="O22" s="32" t="n"/>
    </row>
    <row r="23">
      <c r="A23" s="32" t="n"/>
      <c r="B23" s="32" t="n"/>
      <c r="C23" s="32" t="n"/>
      <c r="D23" s="32" t="n"/>
      <c r="E23" s="32" t="n"/>
      <c r="F23" s="32" t="n"/>
      <c r="G23" s="32" t="n"/>
      <c r="H23" s="32" t="n"/>
      <c r="I23" s="32" t="n"/>
      <c r="J23" s="32" t="n"/>
      <c r="K23" s="32" t="n"/>
      <c r="L23" s="32" t="n"/>
      <c r="M23" s="32" t="n"/>
      <c r="N23" s="32" t="n"/>
      <c r="O23" s="32" t="n"/>
    </row>
    <row r="24">
      <c r="A24" s="32" t="n"/>
      <c r="B24" s="32" t="n"/>
      <c r="C24" s="32" t="n"/>
      <c r="D24" s="32" t="n"/>
      <c r="E24" s="32" t="n"/>
      <c r="F24" s="32" t="n"/>
      <c r="G24" s="32" t="n"/>
      <c r="H24" s="32" t="n"/>
      <c r="I24" s="32" t="n"/>
      <c r="J24" s="32" t="n"/>
      <c r="K24" s="32" t="n"/>
      <c r="L24" s="32" t="n"/>
      <c r="M24" s="32" t="n"/>
      <c r="N24" s="32" t="n"/>
      <c r="O24" s="32" t="n"/>
    </row>
    <row r="25">
      <c r="A25" s="32" t="n"/>
      <c r="B25" s="32" t="n"/>
      <c r="C25" s="32" t="n"/>
      <c r="D25" s="32" t="n"/>
      <c r="E25" s="32" t="n"/>
      <c r="F25" s="32" t="n"/>
      <c r="G25" s="32" t="n"/>
      <c r="H25" s="32" t="n"/>
      <c r="I25" s="32" t="n"/>
      <c r="J25" s="32" t="n"/>
      <c r="K25" s="32" t="n"/>
      <c r="L25" s="32" t="n"/>
      <c r="M25" s="32" t="n"/>
      <c r="N25" s="32" t="n"/>
      <c r="O25" s="32" t="n"/>
    </row>
    <row r="26">
      <c r="A26" s="32" t="n"/>
      <c r="B26" s="32" t="n"/>
      <c r="C26" s="32" t="n"/>
      <c r="D26" s="32" t="n"/>
      <c r="E26" s="32" t="n"/>
      <c r="F26" s="32" t="n"/>
      <c r="G26" s="32" t="n"/>
      <c r="H26" s="32" t="n"/>
      <c r="I26" s="32" t="n"/>
      <c r="J26" s="32" t="n"/>
      <c r="K26" s="32" t="n"/>
      <c r="L26" s="32" t="n"/>
      <c r="M26" s="32" t="n"/>
      <c r="N26" s="32" t="n"/>
      <c r="O26" s="32" t="n"/>
    </row>
    <row r="27">
      <c r="A27" s="32" t="n"/>
      <c r="B27" s="32" t="n"/>
      <c r="C27" s="32" t="n"/>
      <c r="D27" s="32" t="n"/>
      <c r="E27" s="32" t="n"/>
      <c r="F27" s="32" t="n"/>
      <c r="G27" s="32" t="n"/>
      <c r="H27" s="32" t="n"/>
      <c r="I27" s="32" t="n"/>
      <c r="J27" s="32" t="n"/>
      <c r="K27" s="32" t="n"/>
      <c r="L27" s="32" t="n"/>
      <c r="M27" s="32" t="n"/>
      <c r="N27" s="32" t="n"/>
      <c r="O27" s="32" t="n"/>
    </row>
    <row r="28">
      <c r="A28" s="32" t="n"/>
      <c r="B28" s="32" t="n"/>
      <c r="C28" s="32" t="n"/>
      <c r="D28" s="32" t="n"/>
      <c r="E28" s="32" t="n"/>
      <c r="F28" s="32" t="n"/>
      <c r="G28" s="32" t="n"/>
      <c r="H28" s="32" t="n"/>
      <c r="I28" s="32" t="n"/>
      <c r="J28" s="32" t="n"/>
      <c r="K28" s="32" t="n"/>
      <c r="L28" s="32" t="n"/>
      <c r="M28" s="32" t="n"/>
      <c r="N28" s="32" t="n"/>
      <c r="O28" s="32" t="n"/>
    </row>
    <row r="29">
      <c r="A29" s="32" t="n"/>
      <c r="B29" s="32" t="n"/>
      <c r="C29" s="32" t="n"/>
      <c r="D29" s="32" t="n"/>
      <c r="E29" s="32" t="n"/>
      <c r="F29" s="32" t="n"/>
      <c r="G29" s="32" t="n"/>
      <c r="H29" s="32" t="n"/>
      <c r="I29" s="32" t="n"/>
      <c r="J29" s="32" t="n"/>
      <c r="K29" s="32" t="n"/>
      <c r="L29" s="32" t="n"/>
      <c r="M29" s="32" t="n"/>
      <c r="N29" s="32" t="n"/>
      <c r="O29" s="32" t="n"/>
    </row>
    <row r="30">
      <c r="A30" s="32" t="n"/>
      <c r="B30" s="32" t="n"/>
      <c r="C30" s="32" t="n"/>
      <c r="D30" s="32" t="n"/>
      <c r="E30" s="32" t="n"/>
      <c r="F30" s="32" t="n"/>
      <c r="G30" s="32" t="n"/>
      <c r="H30" s="32" t="n"/>
      <c r="I30" s="32" t="n"/>
      <c r="J30" s="32" t="n"/>
      <c r="K30" s="32" t="n"/>
      <c r="L30" s="32" t="n"/>
      <c r="M30" s="32" t="n"/>
      <c r="N30" s="32" t="n"/>
      <c r="O30" s="32" t="n"/>
    </row>
    <row r="31">
      <c r="A31" s="32" t="n"/>
      <c r="B31" s="32" t="n"/>
      <c r="C31" s="32" t="n"/>
      <c r="D31" s="32" t="n"/>
      <c r="E31" s="32" t="n"/>
      <c r="F31" s="32" t="n"/>
      <c r="G31" s="32" t="n"/>
      <c r="H31" s="32" t="n"/>
      <c r="I31" s="32" t="n"/>
      <c r="J31" s="32" t="n"/>
      <c r="K31" s="32" t="n"/>
      <c r="L31" s="32" t="n"/>
      <c r="M31" s="32" t="n"/>
      <c r="N31" s="32" t="n"/>
      <c r="O31" s="32" t="n"/>
    </row>
    <row r="32">
      <c r="A32" s="32" t="n"/>
      <c r="B32" s="32" t="n"/>
      <c r="C32" s="32" t="n"/>
      <c r="D32" s="32" t="n"/>
      <c r="E32" s="32" t="n"/>
      <c r="F32" s="32" t="n"/>
      <c r="G32" s="32" t="n"/>
      <c r="H32" s="32" t="n"/>
      <c r="I32" s="32" t="n"/>
      <c r="J32" s="32" t="n"/>
      <c r="K32" s="32" t="n"/>
      <c r="L32" s="32" t="n"/>
      <c r="M32" s="32" t="n"/>
      <c r="N32" s="32" t="n"/>
      <c r="O32" s="32" t="n"/>
    </row>
    <row r="33">
      <c r="A33" s="32" t="n"/>
      <c r="B33" s="32" t="n"/>
      <c r="C33" s="32" t="n"/>
      <c r="D33" s="32" t="n"/>
      <c r="E33" s="32" t="n"/>
      <c r="F33" s="32" t="n"/>
      <c r="G33" s="32" t="n"/>
      <c r="H33" s="32" t="n"/>
      <c r="I33" s="32" t="n"/>
      <c r="J33" s="32" t="n"/>
      <c r="K33" s="32" t="n"/>
      <c r="L33" s="32" t="n"/>
      <c r="M33" s="32" t="n"/>
      <c r="N33" s="32" t="n"/>
      <c r="O33" s="32" t="n"/>
    </row>
    <row r="34">
      <c r="A34" s="32" t="n"/>
      <c r="B34" s="32" t="n"/>
      <c r="C34" s="32" t="n"/>
      <c r="D34" s="32" t="n"/>
      <c r="E34" s="32" t="n"/>
      <c r="F34" s="32" t="n"/>
      <c r="G34" s="32" t="n"/>
      <c r="H34" s="32" t="n"/>
      <c r="I34" s="32" t="n"/>
      <c r="J34" s="32" t="n"/>
      <c r="K34" s="32" t="n"/>
      <c r="L34" s="32" t="n"/>
      <c r="M34" s="32" t="n"/>
      <c r="N34" s="32" t="n"/>
      <c r="O34" s="32" t="n"/>
    </row>
    <row r="35">
      <c r="A35" s="32" t="n"/>
      <c r="B35" s="32" t="n"/>
      <c r="C35" s="32" t="n"/>
      <c r="D35" s="32" t="n"/>
      <c r="E35" s="32" t="n"/>
      <c r="F35" s="32" t="n"/>
      <c r="G35" s="32" t="n"/>
      <c r="H35" s="32" t="n"/>
      <c r="I35" s="32" t="n"/>
      <c r="J35" s="32" t="n"/>
      <c r="K35" s="32" t="n"/>
      <c r="L35" s="32" t="n"/>
      <c r="M35" s="32" t="n"/>
      <c r="N35" s="32" t="n"/>
      <c r="O35" s="32" t="n"/>
    </row>
    <row r="36">
      <c r="A36" s="32" t="n"/>
      <c r="B36" s="32" t="n"/>
      <c r="C36" s="32" t="n"/>
      <c r="D36" s="32" t="n"/>
      <c r="E36" s="32" t="n"/>
      <c r="F36" s="32" t="n"/>
      <c r="G36" s="32" t="n"/>
      <c r="H36" s="32" t="n"/>
      <c r="I36" s="32" t="n"/>
      <c r="J36" s="32" t="n"/>
      <c r="K36" s="32" t="n"/>
      <c r="L36" s="32" t="n"/>
      <c r="M36" s="32" t="n"/>
      <c r="N36" s="32" t="n"/>
      <c r="O36" s="32" t="n"/>
    </row>
    <row r="37">
      <c r="A37" s="32" t="n"/>
      <c r="B37" s="32" t="n"/>
      <c r="C37" s="32" t="n"/>
      <c r="D37" s="32" t="n"/>
      <c r="E37" s="32" t="n"/>
      <c r="F37" s="32" t="n"/>
      <c r="G37" s="32" t="n"/>
      <c r="H37" s="32" t="n"/>
      <c r="I37" s="32" t="n"/>
      <c r="J37" s="32" t="n"/>
      <c r="K37" s="32" t="n"/>
      <c r="L37" s="32" t="n"/>
      <c r="M37" s="32" t="n"/>
      <c r="N37" s="32" t="n"/>
      <c r="O37" s="32" t="n"/>
    </row>
    <row r="38">
      <c r="A38" s="32" t="n"/>
      <c r="B38" s="32" t="n"/>
      <c r="C38" s="32" t="n"/>
      <c r="D38" s="32" t="n"/>
      <c r="E38" s="32" t="n"/>
      <c r="F38" s="32" t="n"/>
      <c r="G38" s="32" t="n"/>
      <c r="H38" s="32" t="n"/>
      <c r="I38" s="32" t="n"/>
      <c r="J38" s="32" t="n"/>
      <c r="K38" s="32" t="n"/>
      <c r="L38" s="32" t="n"/>
      <c r="M38" s="32" t="n"/>
      <c r="N38" s="32" t="n"/>
      <c r="O38" s="32" t="n"/>
    </row>
    <row r="39">
      <c r="A39" s="32" t="n"/>
      <c r="B39" s="32" t="n"/>
      <c r="C39" s="32" t="n"/>
      <c r="D39" s="32" t="n"/>
      <c r="E39" s="32" t="n"/>
      <c r="F39" s="32" t="n"/>
      <c r="G39" s="32" t="n"/>
      <c r="H39" s="32" t="n"/>
      <c r="I39" s="32" t="n"/>
      <c r="J39" s="32" t="n"/>
      <c r="K39" s="32" t="n"/>
      <c r="L39" s="32" t="n"/>
      <c r="M39" s="32" t="n"/>
      <c r="N39" s="32" t="n"/>
      <c r="O39" s="32" t="n"/>
    </row>
    <row r="40">
      <c r="A40" s="32" t="n"/>
      <c r="B40" s="32" t="n"/>
      <c r="C40" s="32" t="n"/>
      <c r="D40" s="32" t="n"/>
      <c r="E40" s="32" t="n"/>
      <c r="F40" s="32" t="n"/>
      <c r="G40" s="32" t="n"/>
      <c r="H40" s="32" t="n"/>
      <c r="I40" s="32" t="n"/>
      <c r="J40" s="32" t="n"/>
      <c r="K40" s="32" t="n"/>
      <c r="L40" s="32" t="n"/>
      <c r="M40" s="32" t="n"/>
      <c r="N40" s="32" t="n"/>
      <c r="O40" s="32" t="n"/>
    </row>
    <row r="41">
      <c r="A41" s="32" t="n"/>
      <c r="B41" s="32" t="n"/>
      <c r="C41" s="32" t="n"/>
      <c r="D41" s="32" t="n"/>
      <c r="E41" s="32" t="n"/>
      <c r="F41" s="32" t="n"/>
      <c r="G41" s="32" t="n"/>
      <c r="H41" s="32" t="n"/>
      <c r="I41" s="32" t="n"/>
      <c r="J41" s="32" t="n"/>
      <c r="K41" s="32" t="n"/>
      <c r="L41" s="32" t="n"/>
      <c r="M41" s="32" t="n"/>
      <c r="N41" s="32" t="n"/>
      <c r="O41" s="32" t="n"/>
    </row>
    <row r="42">
      <c r="A42" s="32" t="n"/>
      <c r="B42" s="32" t="n"/>
      <c r="C42" s="32" t="n"/>
      <c r="D42" s="32" t="n"/>
      <c r="E42" s="32" t="n"/>
      <c r="F42" s="32" t="n"/>
      <c r="G42" s="32" t="n"/>
      <c r="H42" s="32" t="n"/>
      <c r="I42" s="32" t="n"/>
      <c r="J42" s="32" t="n"/>
      <c r="K42" s="32" t="n"/>
      <c r="L42" s="32" t="n"/>
      <c r="M42" s="32" t="n"/>
      <c r="N42" s="32" t="n"/>
      <c r="O42" s="32" t="n"/>
    </row>
    <row r="43">
      <c r="A43" s="32" t="n"/>
      <c r="B43" s="32" t="n"/>
      <c r="C43" s="32" t="n"/>
      <c r="D43" s="32" t="n"/>
      <c r="E43" s="32" t="n"/>
      <c r="F43" s="32" t="n"/>
      <c r="G43" s="32" t="n"/>
      <c r="H43" s="32" t="n"/>
      <c r="I43" s="32" t="n"/>
      <c r="J43" s="32" t="n"/>
      <c r="K43" s="32" t="n"/>
      <c r="L43" s="32" t="n"/>
      <c r="M43" s="32" t="n"/>
      <c r="N43" s="32" t="n"/>
      <c r="O43" s="32" t="n"/>
    </row>
    <row r="44">
      <c r="A44" s="32" t="n"/>
      <c r="B44" s="32" t="n"/>
      <c r="C44" s="32" t="n"/>
      <c r="D44" s="32" t="n"/>
      <c r="E44" s="32" t="n"/>
      <c r="F44" s="32" t="n"/>
      <c r="G44" s="32" t="n"/>
      <c r="H44" s="32" t="n"/>
      <c r="I44" s="32" t="n"/>
      <c r="J44" s="32" t="n"/>
      <c r="K44" s="32" t="n"/>
      <c r="L44" s="32" t="n"/>
      <c r="M44" s="32" t="n"/>
      <c r="N44" s="32" t="n"/>
      <c r="O44" s="32" t="n"/>
    </row>
    <row r="45">
      <c r="A45" s="32" t="n"/>
      <c r="B45" s="32" t="n"/>
      <c r="C45" s="32" t="n"/>
      <c r="D45" s="32" t="n"/>
      <c r="E45" s="32" t="n"/>
      <c r="F45" s="32" t="n"/>
      <c r="G45" s="32" t="n"/>
      <c r="H45" s="32" t="n"/>
      <c r="I45" s="32" t="n"/>
      <c r="J45" s="32" t="n"/>
      <c r="K45" s="32" t="n"/>
      <c r="L45" s="32" t="n"/>
      <c r="M45" s="32" t="n"/>
      <c r="N45" s="32" t="n"/>
      <c r="O45" s="32" t="n"/>
    </row>
    <row r="46">
      <c r="A46" s="32" t="n"/>
      <c r="B46" s="32" t="n"/>
      <c r="C46" s="32" t="n"/>
      <c r="D46" s="32" t="n"/>
      <c r="E46" s="32" t="n"/>
      <c r="F46" s="32" t="n"/>
      <c r="G46" s="32" t="n"/>
      <c r="H46" s="32" t="n"/>
      <c r="I46" s="32" t="n"/>
      <c r="J46" s="32" t="n"/>
      <c r="K46" s="32" t="n"/>
      <c r="L46" s="32" t="n"/>
      <c r="M46" s="32" t="n"/>
      <c r="N46" s="32" t="n"/>
      <c r="O46" s="32" t="n"/>
    </row>
    <row r="47">
      <c r="A47" s="32" t="n"/>
      <c r="B47" s="32" t="n"/>
      <c r="C47" s="32" t="n"/>
      <c r="D47" s="32" t="n"/>
      <c r="E47" s="32" t="n"/>
      <c r="F47" s="32" t="n"/>
      <c r="G47" s="32" t="n"/>
      <c r="H47" s="32" t="n"/>
      <c r="I47" s="32" t="n"/>
      <c r="J47" s="32" t="n"/>
      <c r="K47" s="32" t="n"/>
      <c r="L47" s="32" t="n"/>
      <c r="M47" s="32" t="n"/>
      <c r="N47" s="32" t="n"/>
      <c r="O47" s="32" t="n"/>
    </row>
    <row r="48">
      <c r="A48" s="32" t="n"/>
      <c r="B48" s="32" t="n"/>
      <c r="C48" s="32" t="n"/>
      <c r="D48" s="32" t="n"/>
      <c r="E48" s="32" t="n"/>
      <c r="F48" s="32" t="n"/>
      <c r="G48" s="32" t="n"/>
      <c r="H48" s="32" t="n"/>
      <c r="I48" s="32" t="n"/>
      <c r="J48" s="32" t="n"/>
      <c r="K48" s="32" t="n"/>
      <c r="L48" s="32" t="n"/>
      <c r="M48" s="32" t="n"/>
      <c r="N48" s="32" t="n"/>
      <c r="O48" s="32" t="n"/>
    </row>
    <row r="49">
      <c r="A49" s="32" t="n"/>
      <c r="B49" s="32" t="n"/>
      <c r="C49" s="32" t="n"/>
      <c r="D49" s="32" t="n"/>
      <c r="E49" s="32" t="n"/>
      <c r="F49" s="32" t="n"/>
      <c r="G49" s="32" t="n"/>
      <c r="H49" s="32" t="n"/>
      <c r="I49" s="32" t="n"/>
      <c r="J49" s="32" t="n"/>
      <c r="K49" s="32" t="n"/>
      <c r="L49" s="32" t="n"/>
      <c r="M49" s="32" t="n"/>
      <c r="N49" s="32" t="n"/>
      <c r="O49" s="32" t="n"/>
    </row>
    <row r="50">
      <c r="A50" s="32" t="n"/>
      <c r="B50" s="32" t="n"/>
      <c r="C50" s="32" t="n"/>
      <c r="D50" s="32" t="n"/>
      <c r="E50" s="32" t="n"/>
      <c r="F50" s="32" t="n"/>
      <c r="G50" s="32" t="n"/>
      <c r="H50" s="32" t="n"/>
      <c r="I50" s="32" t="n"/>
      <c r="J50" s="32" t="n"/>
      <c r="K50" s="32" t="n"/>
      <c r="L50" s="32" t="n"/>
      <c r="M50" s="32" t="n"/>
      <c r="N50" s="32" t="n"/>
      <c r="O50" s="32" t="n"/>
    </row>
    <row r="51">
      <c r="A51" s="32" t="n"/>
      <c r="B51" s="32" t="n"/>
      <c r="C51" s="32" t="n"/>
      <c r="D51" s="32" t="n"/>
      <c r="E51" s="32" t="n"/>
      <c r="F51" s="32" t="n"/>
      <c r="G51" s="32" t="n"/>
      <c r="H51" s="32" t="n"/>
      <c r="I51" s="32" t="n"/>
      <c r="J51" s="32" t="n"/>
      <c r="K51" s="32" t="n"/>
      <c r="L51" s="32" t="n"/>
      <c r="M51" s="32" t="n"/>
      <c r="N51" s="32" t="n"/>
      <c r="O51" s="32" t="n"/>
    </row>
    <row r="52">
      <c r="A52" s="32" t="n"/>
      <c r="B52" s="32" t="n"/>
      <c r="C52" s="32" t="n"/>
      <c r="D52" s="32" t="n"/>
      <c r="E52" s="32" t="n"/>
      <c r="F52" s="32" t="n"/>
      <c r="G52" s="32" t="n"/>
      <c r="H52" s="32" t="n"/>
      <c r="I52" s="32" t="n"/>
      <c r="J52" s="32" t="n"/>
      <c r="K52" s="32" t="n"/>
      <c r="L52" s="32" t="n"/>
      <c r="M52" s="32" t="n"/>
      <c r="N52" s="32" t="n"/>
      <c r="O52" s="32" t="n"/>
    </row>
    <row r="53">
      <c r="A53" s="32" t="n"/>
      <c r="B53" s="32" t="n"/>
      <c r="C53" s="32" t="n"/>
      <c r="D53" s="32" t="n"/>
      <c r="E53" s="32" t="n"/>
      <c r="F53" s="32" t="n"/>
      <c r="G53" s="32" t="n"/>
      <c r="H53" s="32" t="n"/>
      <c r="I53" s="32" t="n"/>
      <c r="J53" s="32" t="n"/>
      <c r="K53" s="32" t="n"/>
      <c r="L53" s="32" t="n"/>
      <c r="M53" s="32" t="n"/>
      <c r="N53" s="32" t="n"/>
      <c r="O53" s="32" t="n"/>
    </row>
    <row r="54">
      <c r="A54" s="32" t="n"/>
      <c r="B54" s="32" t="n"/>
      <c r="C54" s="32" t="n"/>
      <c r="D54" s="32" t="n"/>
      <c r="E54" s="32" t="n"/>
      <c r="F54" s="32" t="n"/>
      <c r="G54" s="32" t="n"/>
      <c r="H54" s="32" t="n"/>
      <c r="I54" s="32" t="n"/>
      <c r="J54" s="32" t="n"/>
      <c r="K54" s="32" t="n"/>
      <c r="L54" s="32" t="n"/>
      <c r="M54" s="32" t="n"/>
      <c r="N54" s="32" t="n"/>
      <c r="O54" s="32" t="n"/>
    </row>
    <row r="55">
      <c r="A55" s="32" t="n"/>
      <c r="B55" s="32" t="n"/>
      <c r="C55" s="32" t="n"/>
      <c r="D55" s="32" t="n"/>
      <c r="E55" s="32" t="n"/>
      <c r="F55" s="32" t="n"/>
      <c r="G55" s="32" t="n"/>
      <c r="H55" s="32" t="n"/>
      <c r="I55" s="32" t="n"/>
      <c r="J55" s="32" t="n"/>
      <c r="K55" s="32" t="n"/>
      <c r="L55" s="32" t="n"/>
      <c r="M55" s="32" t="n"/>
      <c r="N55" s="32" t="n"/>
      <c r="O55" s="32" t="n"/>
    </row>
    <row r="56">
      <c r="A56" s="32" t="n"/>
      <c r="B56" s="32" t="n"/>
      <c r="C56" s="32" t="n"/>
      <c r="D56" s="32" t="n"/>
      <c r="E56" s="32" t="n"/>
      <c r="F56" s="32" t="n"/>
      <c r="G56" s="32" t="n"/>
      <c r="H56" s="32" t="n"/>
      <c r="I56" s="32" t="n"/>
      <c r="J56" s="32" t="n"/>
      <c r="K56" s="32" t="n"/>
      <c r="L56" s="32" t="n"/>
      <c r="M56" s="32" t="n"/>
      <c r="N56" s="32" t="n"/>
      <c r="O56" s="32" t="n"/>
    </row>
    <row r="57">
      <c r="A57" s="32" t="n"/>
      <c r="B57" s="32" t="n"/>
      <c r="C57" s="32" t="n"/>
      <c r="D57" s="32" t="n"/>
      <c r="E57" s="32" t="n"/>
      <c r="F57" s="32" t="n"/>
      <c r="G57" s="32" t="n"/>
      <c r="H57" s="32" t="n"/>
      <c r="I57" s="32" t="n"/>
      <c r="J57" s="32" t="n"/>
      <c r="K57" s="32" t="n"/>
      <c r="L57" s="32" t="n"/>
      <c r="M57" s="32" t="n"/>
      <c r="N57" s="32" t="n"/>
      <c r="O57" s="32" t="n"/>
    </row>
    <row r="58">
      <c r="A58" s="32" t="n"/>
      <c r="B58" s="32" t="n"/>
      <c r="C58" s="32" t="n"/>
      <c r="D58" s="32" t="n"/>
      <c r="E58" s="32" t="n"/>
      <c r="F58" s="32" t="n"/>
      <c r="G58" s="32" t="n"/>
      <c r="H58" s="32" t="n"/>
      <c r="I58" s="32" t="n"/>
      <c r="J58" s="32" t="n"/>
      <c r="K58" s="32" t="n"/>
      <c r="L58" s="32" t="n"/>
      <c r="M58" s="32" t="n"/>
      <c r="N58" s="32" t="n"/>
      <c r="O58" s="32" t="n"/>
    </row>
    <row r="59">
      <c r="A59" s="32" t="n"/>
      <c r="B59" s="32" t="n"/>
      <c r="C59" s="32" t="n"/>
      <c r="D59" s="32" t="n"/>
      <c r="E59" s="32" t="n"/>
      <c r="F59" s="32" t="n"/>
      <c r="G59" s="32" t="n"/>
      <c r="H59" s="32" t="n"/>
      <c r="I59" s="32" t="n"/>
      <c r="J59" s="32" t="n"/>
      <c r="K59" s="32" t="n"/>
      <c r="L59" s="32" t="n"/>
      <c r="M59" s="32" t="n"/>
      <c r="N59" s="32" t="n"/>
      <c r="O59" s="32" t="n"/>
    </row>
    <row r="60">
      <c r="A60" s="32" t="n"/>
      <c r="B60" s="32" t="n"/>
      <c r="C60" s="32" t="n"/>
      <c r="D60" s="32" t="n"/>
      <c r="E60" s="32" t="n"/>
      <c r="F60" s="32" t="n"/>
      <c r="G60" s="32" t="n"/>
      <c r="H60" s="32" t="n"/>
      <c r="I60" s="32" t="n"/>
      <c r="J60" s="32" t="n"/>
      <c r="K60" s="32" t="n"/>
      <c r="L60" s="32" t="n"/>
      <c r="M60" s="32" t="n"/>
      <c r="N60" s="32" t="n"/>
      <c r="O60" s="32" t="n"/>
    </row>
    <row r="61">
      <c r="A61" s="32" t="n"/>
      <c r="B61" s="32" t="n"/>
      <c r="C61" s="32" t="n"/>
      <c r="D61" s="32" t="n"/>
      <c r="E61" s="32" t="n"/>
      <c r="F61" s="32" t="n"/>
      <c r="G61" s="32" t="n"/>
      <c r="H61" s="32" t="n"/>
      <c r="I61" s="32" t="n"/>
      <c r="J61" s="32" t="n"/>
      <c r="K61" s="32" t="n"/>
      <c r="L61" s="32" t="n"/>
      <c r="M61" s="32" t="n"/>
      <c r="N61" s="32" t="n"/>
      <c r="O61" s="32" t="n"/>
    </row>
    <row r="62">
      <c r="A62" s="32" t="n"/>
      <c r="B62" s="32" t="n"/>
      <c r="C62" s="32" t="n"/>
      <c r="D62" s="32" t="n"/>
      <c r="E62" s="32" t="n"/>
      <c r="F62" s="32" t="n"/>
      <c r="G62" s="32" t="n"/>
      <c r="H62" s="32" t="n"/>
      <c r="I62" s="32" t="n"/>
      <c r="J62" s="32" t="n"/>
      <c r="K62" s="32" t="n"/>
      <c r="L62" s="32" t="n"/>
      <c r="M62" s="32" t="n"/>
      <c r="N62" s="32" t="n"/>
      <c r="O62" s="32" t="n"/>
    </row>
    <row r="63">
      <c r="A63" s="32" t="n"/>
      <c r="B63" s="32" t="n"/>
      <c r="C63" s="32" t="n"/>
      <c r="D63" s="32" t="n"/>
      <c r="E63" s="32" t="n"/>
      <c r="F63" s="32" t="n"/>
      <c r="G63" s="32" t="n"/>
      <c r="H63" s="32" t="n"/>
      <c r="I63" s="32" t="n"/>
      <c r="J63" s="32" t="n"/>
      <c r="K63" s="32" t="n"/>
      <c r="L63" s="32" t="n"/>
      <c r="M63" s="32" t="n"/>
      <c r="N63" s="32" t="n"/>
      <c r="O63" s="32" t="n"/>
    </row>
    <row r="64">
      <c r="A64" s="32" t="n"/>
      <c r="B64" s="32" t="n"/>
      <c r="C64" s="32" t="n"/>
      <c r="D64" s="32" t="n"/>
      <c r="E64" s="32" t="n"/>
      <c r="F64" s="32" t="n"/>
      <c r="G64" s="32" t="n"/>
      <c r="H64" s="32" t="n"/>
      <c r="I64" s="32" t="n"/>
      <c r="J64" s="32" t="n"/>
      <c r="K64" s="32" t="n"/>
      <c r="L64" s="32" t="n"/>
      <c r="M64" s="32" t="n"/>
      <c r="N64" s="32" t="n"/>
      <c r="O64" s="32" t="n"/>
    </row>
    <row r="65">
      <c r="A65" s="32" t="n"/>
      <c r="B65" s="32" t="n"/>
      <c r="C65" s="32" t="n"/>
      <c r="D65" s="32" t="n"/>
      <c r="E65" s="32" t="n"/>
      <c r="F65" s="32" t="n"/>
      <c r="G65" s="32" t="n"/>
      <c r="H65" s="32" t="n"/>
      <c r="I65" s="32" t="n"/>
      <c r="J65" s="32" t="n"/>
      <c r="K65" s="32" t="n"/>
      <c r="L65" s="32" t="n"/>
      <c r="M65" s="32" t="n"/>
      <c r="N65" s="32" t="n"/>
      <c r="O65" s="32" t="n"/>
    </row>
    <row r="66">
      <c r="A66" s="32" t="n"/>
      <c r="B66" s="32" t="n"/>
      <c r="C66" s="32" t="n"/>
      <c r="D66" s="32" t="n"/>
      <c r="E66" s="32" t="n"/>
      <c r="F66" s="32" t="n"/>
      <c r="G66" s="32" t="n"/>
      <c r="H66" s="32" t="n"/>
      <c r="I66" s="32" t="n"/>
      <c r="J66" s="32" t="n"/>
      <c r="K66" s="32" t="n"/>
      <c r="L66" s="32" t="n"/>
      <c r="M66" s="32" t="n"/>
      <c r="N66" s="32" t="n"/>
      <c r="O66" s="32" t="n"/>
    </row>
    <row r="67">
      <c r="A67" s="32" t="n"/>
      <c r="B67" s="32" t="n"/>
      <c r="C67" s="32" t="n"/>
      <c r="D67" s="32" t="n"/>
      <c r="E67" s="32" t="n"/>
      <c r="F67" s="32" t="n"/>
      <c r="G67" s="32" t="n"/>
      <c r="H67" s="32" t="n"/>
      <c r="I67" s="32" t="n"/>
      <c r="J67" s="32" t="n"/>
      <c r="K67" s="32" t="n"/>
      <c r="L67" s="32" t="n"/>
      <c r="M67" s="32" t="n"/>
      <c r="N67" s="32" t="n"/>
      <c r="O67" s="32" t="n"/>
    </row>
    <row r="68">
      <c r="A68" s="32" t="n"/>
      <c r="B68" s="32" t="n"/>
      <c r="C68" s="32" t="n"/>
      <c r="D68" s="32" t="n"/>
      <c r="E68" s="32" t="n"/>
      <c r="F68" s="32" t="n"/>
      <c r="G68" s="32" t="n"/>
      <c r="H68" s="32" t="n"/>
      <c r="I68" s="32" t="n"/>
      <c r="J68" s="32" t="n"/>
      <c r="K68" s="32" t="n"/>
      <c r="L68" s="32" t="n"/>
      <c r="M68" s="32" t="n"/>
      <c r="N68" s="32" t="n"/>
      <c r="O68" s="32" t="n"/>
    </row>
    <row r="69">
      <c r="A69" s="32" t="n"/>
      <c r="B69" s="32" t="n"/>
      <c r="C69" s="32" t="n"/>
      <c r="D69" s="32" t="n"/>
      <c r="E69" s="32" t="n"/>
      <c r="F69" s="32" t="n"/>
      <c r="G69" s="32" t="n"/>
      <c r="H69" s="32" t="n"/>
      <c r="I69" s="32" t="n"/>
      <c r="J69" s="32" t="n"/>
      <c r="K69" s="32" t="n"/>
      <c r="L69" s="32" t="n"/>
      <c r="M69" s="32" t="n"/>
      <c r="N69" s="32" t="n"/>
      <c r="O69" s="32" t="n"/>
    </row>
    <row r="70">
      <c r="A70" s="32" t="n"/>
      <c r="B70" s="32" t="n"/>
      <c r="C70" s="32" t="n"/>
      <c r="D70" s="32" t="n"/>
      <c r="E70" s="32" t="n"/>
      <c r="F70" s="32" t="n"/>
      <c r="G70" s="32" t="n"/>
      <c r="H70" s="32" t="n"/>
      <c r="I70" s="32" t="n"/>
      <c r="J70" s="32" t="n"/>
      <c r="K70" s="32" t="n"/>
      <c r="L70" s="32" t="n"/>
      <c r="M70" s="32" t="n"/>
      <c r="N70" s="32" t="n"/>
      <c r="O70" s="32" t="n"/>
    </row>
    <row r="71">
      <c r="A71" s="32" t="n"/>
      <c r="B71" s="32" t="n"/>
      <c r="C71" s="32" t="n"/>
      <c r="D71" s="32" t="n"/>
      <c r="E71" s="32" t="n"/>
      <c r="F71" s="32" t="n"/>
      <c r="G71" s="32" t="n"/>
      <c r="H71" s="32" t="n"/>
      <c r="I71" s="32" t="n"/>
      <c r="J71" s="32" t="n"/>
      <c r="K71" s="32" t="n"/>
      <c r="L71" s="32" t="n"/>
      <c r="M71" s="32" t="n"/>
      <c r="N71" s="32" t="n"/>
      <c r="O71" s="32" t="n"/>
    </row>
    <row r="72">
      <c r="A72" s="32" t="n"/>
      <c r="B72" s="32" t="n"/>
      <c r="C72" s="32" t="n"/>
      <c r="D72" s="32" t="n"/>
      <c r="E72" s="32" t="n"/>
      <c r="F72" s="32" t="n"/>
      <c r="G72" s="32" t="n"/>
      <c r="H72" s="32" t="n"/>
      <c r="I72" s="32" t="n"/>
      <c r="J72" s="32" t="n"/>
      <c r="K72" s="32" t="n"/>
      <c r="L72" s="32" t="n"/>
      <c r="M72" s="32" t="n"/>
      <c r="N72" s="32" t="n"/>
      <c r="O72" s="32" t="n"/>
    </row>
    <row r="73">
      <c r="A73" s="32" t="n"/>
      <c r="B73" s="32" t="n"/>
      <c r="C73" s="32" t="n"/>
      <c r="D73" s="32" t="n"/>
      <c r="E73" s="32" t="n"/>
      <c r="F73" s="32" t="n"/>
      <c r="G73" s="32" t="n"/>
      <c r="H73" s="32" t="n"/>
      <c r="I73" s="32" t="n"/>
      <c r="J73" s="32" t="n"/>
      <c r="K73" s="32" t="n"/>
      <c r="L73" s="32" t="n"/>
      <c r="M73" s="32" t="n"/>
      <c r="N73" s="32" t="n"/>
      <c r="O73" s="32" t="n"/>
    </row>
    <row r="74">
      <c r="A74" s="32" t="n"/>
      <c r="B74" s="32" t="n"/>
      <c r="C74" s="32" t="n"/>
      <c r="D74" s="32" t="n"/>
      <c r="E74" s="32" t="n"/>
      <c r="F74" s="32" t="n"/>
      <c r="G74" s="32" t="n"/>
      <c r="H74" s="32" t="n"/>
      <c r="I74" s="32" t="n"/>
      <c r="J74" s="32" t="n"/>
      <c r="K74" s="32" t="n"/>
      <c r="L74" s="32" t="n"/>
      <c r="M74" s="32" t="n"/>
      <c r="N74" s="32" t="n"/>
      <c r="O74" s="32" t="n"/>
    </row>
    <row r="75">
      <c r="A75" s="32" t="n"/>
      <c r="B75" s="32" t="n"/>
      <c r="C75" s="32" t="n"/>
      <c r="D75" s="32" t="n"/>
      <c r="E75" s="32" t="n"/>
      <c r="F75" s="32" t="n"/>
      <c r="G75" s="32" t="n"/>
      <c r="H75" s="32" t="n"/>
      <c r="I75" s="32" t="n"/>
      <c r="J75" s="32" t="n"/>
      <c r="K75" s="32" t="n"/>
      <c r="L75" s="32" t="n"/>
      <c r="M75" s="32" t="n"/>
      <c r="N75" s="32" t="n"/>
      <c r="O75" s="32" t="n"/>
    </row>
    <row r="76">
      <c r="A76" s="32" t="n"/>
      <c r="B76" s="32" t="n"/>
      <c r="C76" s="32" t="n"/>
      <c r="D76" s="32" t="n"/>
      <c r="E76" s="32" t="n"/>
      <c r="F76" s="32" t="n"/>
      <c r="G76" s="32" t="n"/>
      <c r="H76" s="32" t="n"/>
      <c r="I76" s="32" t="n"/>
      <c r="J76" s="32" t="n"/>
      <c r="K76" s="32" t="n"/>
      <c r="L76" s="32" t="n"/>
      <c r="M76" s="32" t="n"/>
      <c r="N76" s="32" t="n"/>
      <c r="O76" s="32" t="n"/>
    </row>
    <row r="77">
      <c r="A77" s="32" t="n"/>
      <c r="B77" s="32" t="n"/>
      <c r="C77" s="32" t="n"/>
      <c r="D77" s="32" t="n"/>
      <c r="E77" s="32" t="n"/>
      <c r="F77" s="32" t="n"/>
      <c r="G77" s="32" t="n"/>
      <c r="H77" s="32" t="n"/>
      <c r="I77" s="32" t="n"/>
      <c r="J77" s="32" t="n"/>
      <c r="K77" s="32" t="n"/>
      <c r="L77" s="32" t="n"/>
      <c r="M77" s="32" t="n"/>
      <c r="N77" s="32" t="n"/>
      <c r="O77" s="32" t="n"/>
    </row>
    <row r="78">
      <c r="A78" s="32" t="n"/>
      <c r="B78" s="32" t="n"/>
      <c r="C78" s="32" t="n"/>
      <c r="D78" s="32" t="n"/>
      <c r="E78" s="32" t="n"/>
      <c r="F78" s="32" t="n"/>
      <c r="G78" s="32" t="n"/>
      <c r="H78" s="32" t="n"/>
      <c r="I78" s="32" t="n"/>
      <c r="J78" s="32" t="n"/>
      <c r="K78" s="32" t="n"/>
      <c r="L78" s="32" t="n"/>
      <c r="M78" s="32" t="n"/>
      <c r="N78" s="32" t="n"/>
      <c r="O78" s="32" t="n"/>
    </row>
    <row r="79">
      <c r="A79" s="32" t="n"/>
      <c r="B79" s="32" t="n"/>
      <c r="C79" s="32" t="n"/>
      <c r="D79" s="32" t="n"/>
      <c r="E79" s="32" t="n"/>
      <c r="F79" s="32" t="n"/>
      <c r="G79" s="32" t="n"/>
      <c r="H79" s="32" t="n"/>
      <c r="I79" s="32" t="n"/>
      <c r="J79" s="32" t="n"/>
      <c r="K79" s="32" t="n"/>
      <c r="L79" s="32" t="n"/>
      <c r="M79" s="32" t="n"/>
      <c r="N79" s="32" t="n"/>
      <c r="O79" s="32" t="n"/>
    </row>
    <row r="80">
      <c r="A80" s="32" t="n"/>
      <c r="B80" s="32" t="n"/>
      <c r="C80" s="32" t="n"/>
      <c r="D80" s="32" t="n"/>
      <c r="E80" s="32" t="n"/>
      <c r="F80" s="32" t="n"/>
      <c r="G80" s="32" t="n"/>
      <c r="H80" s="32" t="n"/>
      <c r="I80" s="32" t="n"/>
      <c r="J80" s="32" t="n"/>
      <c r="K80" s="32" t="n"/>
      <c r="L80" s="32" t="n"/>
      <c r="M80" s="32" t="n"/>
      <c r="N80" s="32" t="n"/>
      <c r="O80" s="32" t="n"/>
    </row>
    <row r="81">
      <c r="A81" s="32" t="n"/>
      <c r="B81" s="32" t="n"/>
      <c r="C81" s="32" t="n"/>
      <c r="D81" s="32" t="n"/>
      <c r="E81" s="32" t="n"/>
      <c r="F81" s="32" t="n"/>
      <c r="G81" s="32" t="n"/>
      <c r="H81" s="32" t="n"/>
      <c r="I81" s="32" t="n"/>
      <c r="J81" s="32" t="n"/>
      <c r="K81" s="32" t="n"/>
      <c r="L81" s="32" t="n"/>
      <c r="M81" s="32" t="n"/>
      <c r="N81" s="32" t="n"/>
      <c r="O81" s="32" t="n"/>
    </row>
    <row r="82">
      <c r="A82" s="32" t="n"/>
      <c r="B82" s="32" t="n"/>
      <c r="C82" s="32" t="n"/>
      <c r="D82" s="32" t="n"/>
      <c r="E82" s="32" t="n"/>
      <c r="F82" s="32" t="n"/>
      <c r="G82" s="32" t="n"/>
      <c r="H82" s="32" t="n"/>
      <c r="I82" s="32" t="n"/>
      <c r="J82" s="32" t="n"/>
      <c r="K82" s="32" t="n"/>
      <c r="L82" s="32" t="n"/>
      <c r="M82" s="32" t="n"/>
      <c r="N82" s="32" t="n"/>
      <c r="O82" s="32" t="n"/>
    </row>
    <row r="83">
      <c r="A83" s="32" t="n"/>
      <c r="B83" s="32" t="n"/>
      <c r="C83" s="32" t="n"/>
      <c r="D83" s="32" t="n"/>
      <c r="E83" s="32" t="n"/>
      <c r="F83" s="32" t="n"/>
      <c r="G83" s="32" t="n"/>
      <c r="H83" s="32" t="n"/>
      <c r="I83" s="32" t="n"/>
      <c r="J83" s="32" t="n"/>
      <c r="K83" s="32" t="n"/>
      <c r="L83" s="32" t="n"/>
      <c r="M83" s="32" t="n"/>
      <c r="N83" s="32" t="n"/>
      <c r="O83" s="32" t="n"/>
    </row>
    <row r="84">
      <c r="A84" s="32" t="n"/>
      <c r="B84" s="32" t="n"/>
      <c r="C84" s="32" t="n"/>
      <c r="D84" s="32" t="n"/>
      <c r="E84" s="32" t="n"/>
      <c r="F84" s="32" t="n"/>
      <c r="G84" s="32" t="n"/>
      <c r="H84" s="32" t="n"/>
      <c r="I84" s="32" t="n"/>
      <c r="J84" s="32" t="n"/>
      <c r="K84" s="32" t="n"/>
      <c r="L84" s="32" t="n"/>
      <c r="M84" s="32" t="n"/>
      <c r="N84" s="32" t="n"/>
      <c r="O84" s="32" t="n"/>
    </row>
    <row r="85">
      <c r="A85" s="32" t="n"/>
      <c r="B85" s="32" t="n"/>
      <c r="C85" s="32" t="n"/>
      <c r="D85" s="32" t="n"/>
      <c r="E85" s="32" t="n"/>
      <c r="F85" s="32" t="n"/>
      <c r="G85" s="32" t="n"/>
      <c r="H85" s="32" t="n"/>
      <c r="I85" s="32" t="n"/>
      <c r="J85" s="32" t="n"/>
      <c r="K85" s="32" t="n"/>
      <c r="L85" s="32" t="n"/>
      <c r="M85" s="32" t="n"/>
      <c r="N85" s="32" t="n"/>
      <c r="O85" s="32" t="n"/>
    </row>
    <row r="86">
      <c r="A86" s="32" t="n"/>
      <c r="B86" s="32" t="n"/>
      <c r="C86" s="32" t="n"/>
      <c r="D86" s="32" t="n"/>
      <c r="E86" s="32" t="n"/>
      <c r="F86" s="32" t="n"/>
      <c r="G86" s="32" t="n"/>
      <c r="H86" s="32" t="n"/>
      <c r="I86" s="32" t="n"/>
      <c r="J86" s="32" t="n"/>
      <c r="K86" s="32" t="n"/>
      <c r="L86" s="32" t="n"/>
      <c r="M86" s="32" t="n"/>
      <c r="N86" s="32" t="n"/>
      <c r="O86" s="32" t="n"/>
    </row>
    <row r="87">
      <c r="A87" s="32" t="n"/>
      <c r="B87" s="32" t="n"/>
      <c r="C87" s="32" t="n"/>
      <c r="D87" s="32" t="n"/>
      <c r="E87" s="32" t="n"/>
      <c r="F87" s="32" t="n"/>
      <c r="G87" s="32" t="n"/>
      <c r="H87" s="32" t="n"/>
      <c r="I87" s="32" t="n"/>
      <c r="J87" s="32" t="n"/>
      <c r="K87" s="32" t="n"/>
      <c r="L87" s="32" t="n"/>
      <c r="M87" s="32" t="n"/>
      <c r="N87" s="32" t="n"/>
      <c r="O87" s="32" t="n"/>
    </row>
    <row r="88">
      <c r="A88" s="32" t="n"/>
      <c r="B88" s="32" t="n"/>
      <c r="C88" s="32" t="n"/>
      <c r="D88" s="32" t="n"/>
      <c r="E88" s="32" t="n"/>
      <c r="F88" s="32" t="n"/>
      <c r="G88" s="32" t="n"/>
      <c r="H88" s="32" t="n"/>
      <c r="I88" s="32" t="n"/>
      <c r="J88" s="32" t="n"/>
      <c r="K88" s="32" t="n"/>
      <c r="L88" s="32" t="n"/>
      <c r="M88" s="32" t="n"/>
      <c r="N88" s="32" t="n"/>
      <c r="O88" s="32" t="n"/>
    </row>
    <row r="89">
      <c r="A89" s="32" t="n"/>
      <c r="B89" s="32" t="n"/>
      <c r="C89" s="32" t="n"/>
      <c r="D89" s="32" t="n"/>
      <c r="E89" s="32" t="n"/>
      <c r="F89" s="32" t="n"/>
      <c r="G89" s="32" t="n"/>
      <c r="H89" s="32" t="n"/>
      <c r="I89" s="32" t="n"/>
      <c r="J89" s="32" t="n"/>
      <c r="K89" s="32" t="n"/>
      <c r="L89" s="32" t="n"/>
      <c r="M89" s="32" t="n"/>
      <c r="N89" s="32" t="n"/>
      <c r="O89" s="32" t="n"/>
    </row>
    <row r="90">
      <c r="A90" s="32" t="n"/>
      <c r="B90" s="32" t="n"/>
      <c r="C90" s="32" t="n"/>
      <c r="D90" s="32" t="n"/>
      <c r="E90" s="32" t="n"/>
      <c r="F90" s="32" t="n"/>
      <c r="G90" s="32" t="n"/>
      <c r="H90" s="32" t="n"/>
      <c r="I90" s="32" t="n"/>
      <c r="J90" s="32" t="n"/>
      <c r="K90" s="32" t="n"/>
      <c r="L90" s="32" t="n"/>
      <c r="M90" s="32" t="n"/>
      <c r="N90" s="32" t="n"/>
      <c r="O90" s="32" t="n"/>
    </row>
    <row r="91">
      <c r="A91" s="32" t="n"/>
      <c r="B91" s="32" t="n"/>
      <c r="C91" s="32" t="n"/>
      <c r="D91" s="32" t="n"/>
      <c r="E91" s="32" t="n"/>
      <c r="F91" s="32" t="n"/>
      <c r="G91" s="32" t="n"/>
      <c r="H91" s="32" t="n"/>
      <c r="I91" s="32" t="n"/>
      <c r="J91" s="32" t="n"/>
      <c r="K91" s="32" t="n"/>
      <c r="L91" s="32" t="n"/>
      <c r="M91" s="32" t="n"/>
      <c r="N91" s="32" t="n"/>
      <c r="O91" s="32" t="n"/>
    </row>
    <row r="92">
      <c r="A92" s="32" t="n"/>
      <c r="B92" s="32" t="n"/>
      <c r="C92" s="32" t="n"/>
      <c r="D92" s="32" t="n"/>
      <c r="E92" s="32" t="n"/>
      <c r="F92" s="32" t="n"/>
      <c r="G92" s="32" t="n"/>
      <c r="H92" s="32" t="n"/>
      <c r="I92" s="32" t="n"/>
      <c r="J92" s="32" t="n"/>
      <c r="K92" s="32" t="n"/>
      <c r="L92" s="32" t="n"/>
      <c r="M92" s="32" t="n"/>
      <c r="N92" s="32" t="n"/>
      <c r="O92" s="32" t="n"/>
    </row>
    <row r="93">
      <c r="A93" s="32" t="n"/>
      <c r="B93" s="32" t="n"/>
      <c r="C93" s="32" t="n"/>
      <c r="D93" s="32" t="n"/>
      <c r="E93" s="32" t="n"/>
      <c r="F93" s="32" t="n"/>
      <c r="G93" s="32" t="n"/>
      <c r="H93" s="32" t="n"/>
      <c r="I93" s="32" t="n"/>
      <c r="J93" s="32" t="n"/>
      <c r="K93" s="32" t="n"/>
      <c r="L93" s="32" t="n"/>
      <c r="M93" s="32" t="n"/>
      <c r="N93" s="32" t="n"/>
      <c r="O93" s="32" t="n"/>
    </row>
    <row r="94">
      <c r="A94" s="32" t="n"/>
      <c r="B94" s="32" t="n"/>
      <c r="C94" s="32" t="n"/>
      <c r="D94" s="32" t="n"/>
      <c r="E94" s="32" t="n"/>
      <c r="F94" s="32" t="n"/>
      <c r="G94" s="32" t="n"/>
      <c r="H94" s="32" t="n"/>
      <c r="I94" s="32" t="n"/>
      <c r="J94" s="32" t="n"/>
      <c r="K94" s="32" t="n"/>
      <c r="L94" s="32" t="n"/>
      <c r="M94" s="32" t="n"/>
      <c r="N94" s="32" t="n"/>
      <c r="O94" s="32" t="n"/>
    </row>
    <row r="95">
      <c r="A95" s="32" t="n"/>
      <c r="B95" s="32" t="n"/>
      <c r="C95" s="32" t="n"/>
      <c r="D95" s="32" t="n"/>
      <c r="E95" s="32" t="n"/>
      <c r="F95" s="32" t="n"/>
      <c r="G95" s="32" t="n"/>
      <c r="H95" s="32" t="n"/>
      <c r="I95" s="32" t="n"/>
      <c r="J95" s="32" t="n"/>
      <c r="K95" s="32" t="n"/>
      <c r="L95" s="32" t="n"/>
      <c r="M95" s="32" t="n"/>
      <c r="N95" s="32" t="n"/>
      <c r="O95" s="32" t="n"/>
    </row>
    <row r="96">
      <c r="A96" s="32" t="n"/>
      <c r="B96" s="32" t="n"/>
      <c r="C96" s="32" t="n"/>
      <c r="D96" s="32" t="n"/>
      <c r="E96" s="32" t="n"/>
      <c r="F96" s="32" t="n"/>
      <c r="G96" s="32" t="n"/>
      <c r="H96" s="32" t="n"/>
      <c r="I96" s="32" t="n"/>
      <c r="J96" s="32" t="n"/>
      <c r="K96" s="32" t="n"/>
      <c r="L96" s="32" t="n"/>
      <c r="M96" s="32" t="n"/>
      <c r="N96" s="32" t="n"/>
      <c r="O96" s="32" t="n"/>
    </row>
    <row r="97">
      <c r="A97" s="32" t="n"/>
      <c r="B97" s="32" t="n"/>
      <c r="C97" s="32" t="n"/>
      <c r="D97" s="32" t="n"/>
      <c r="E97" s="32" t="n"/>
      <c r="F97" s="32" t="n"/>
      <c r="G97" s="32" t="n"/>
      <c r="H97" s="32" t="n"/>
      <c r="I97" s="32" t="n"/>
      <c r="J97" s="32" t="n"/>
      <c r="K97" s="32" t="n"/>
      <c r="L97" s="32" t="n"/>
      <c r="M97" s="32" t="n"/>
      <c r="N97" s="32" t="n"/>
      <c r="O97" s="32" t="n"/>
    </row>
    <row r="98">
      <c r="A98" s="32" t="n"/>
      <c r="B98" s="32" t="n"/>
      <c r="C98" s="32" t="n"/>
      <c r="D98" s="32" t="n"/>
      <c r="E98" s="32" t="n"/>
      <c r="F98" s="32" t="n"/>
      <c r="G98" s="32" t="n"/>
      <c r="H98" s="32" t="n"/>
      <c r="I98" s="32" t="n"/>
      <c r="J98" s="32" t="n"/>
      <c r="K98" s="32" t="n"/>
      <c r="L98" s="32" t="n"/>
      <c r="M98" s="32" t="n"/>
      <c r="N98" s="32" t="n"/>
      <c r="O98" s="32" t="n"/>
    </row>
    <row r="99">
      <c r="A99" s="32" t="n"/>
      <c r="B99" s="32" t="n"/>
      <c r="C99" s="32" t="n"/>
      <c r="D99" s="32" t="n"/>
      <c r="E99" s="32" t="n"/>
      <c r="F99" s="32" t="n"/>
      <c r="G99" s="32" t="n"/>
      <c r="H99" s="32" t="n"/>
      <c r="I99" s="32" t="n"/>
      <c r="J99" s="32" t="n"/>
      <c r="K99" s="32" t="n"/>
      <c r="L99" s="32" t="n"/>
      <c r="M99" s="32" t="n"/>
      <c r="N99" s="32" t="n"/>
      <c r="O99" s="32" t="n"/>
    </row>
    <row r="100">
      <c r="A100" s="32" t="n"/>
      <c r="B100" s="32" t="n"/>
      <c r="C100" s="32" t="n"/>
      <c r="D100" s="32" t="n"/>
      <c r="E100" s="32" t="n"/>
      <c r="F100" s="32" t="n"/>
      <c r="G100" s="32" t="n"/>
      <c r="H100" s="32" t="n"/>
      <c r="I100" s="32" t="n"/>
      <c r="J100" s="32" t="n"/>
      <c r="K100" s="32" t="n"/>
      <c r="L100" s="32" t="n"/>
      <c r="M100" s="32" t="n"/>
      <c r="N100" s="32" t="n"/>
      <c r="O100" s="32" t="n"/>
    </row>
    <row r="101">
      <c r="A101" s="32" t="n"/>
      <c r="B101" s="32" t="n"/>
      <c r="C101" s="32" t="n"/>
      <c r="D101" s="32" t="n"/>
      <c r="E101" s="32" t="n"/>
      <c r="F101" s="32" t="n"/>
      <c r="G101" s="32" t="n"/>
      <c r="H101" s="32" t="n"/>
      <c r="I101" s="32" t="n"/>
      <c r="J101" s="32" t="n"/>
      <c r="K101" s="32" t="n"/>
      <c r="L101" s="32" t="n"/>
      <c r="M101" s="32" t="n"/>
      <c r="N101" s="32" t="n"/>
      <c r="O101" s="32" t="n"/>
    </row>
    <row r="102">
      <c r="A102" s="32" t="n"/>
      <c r="B102" s="32" t="n"/>
      <c r="C102" s="32" t="n"/>
      <c r="D102" s="32" t="n"/>
      <c r="E102" s="32" t="n"/>
      <c r="F102" s="32" t="n"/>
      <c r="G102" s="32" t="n"/>
      <c r="H102" s="32" t="n"/>
      <c r="I102" s="32" t="n"/>
      <c r="J102" s="32" t="n"/>
      <c r="K102" s="32" t="n"/>
      <c r="L102" s="32" t="n"/>
      <c r="M102" s="32" t="n"/>
      <c r="N102" s="32" t="n"/>
      <c r="O102" s="32" t="n"/>
    </row>
    <row r="103">
      <c r="A103" s="32" t="n"/>
      <c r="B103" s="32" t="n"/>
      <c r="C103" s="32" t="n"/>
      <c r="D103" s="32" t="n"/>
      <c r="E103" s="32" t="n"/>
      <c r="F103" s="32" t="n"/>
      <c r="G103" s="32" t="n"/>
      <c r="H103" s="32" t="n"/>
      <c r="I103" s="32" t="n"/>
      <c r="J103" s="32" t="n"/>
      <c r="K103" s="32" t="n"/>
      <c r="L103" s="32" t="n"/>
      <c r="M103" s="32" t="n"/>
      <c r="N103" s="32" t="n"/>
      <c r="O103" s="32" t="n"/>
    </row>
    <row r="104">
      <c r="A104" s="32" t="n"/>
      <c r="B104" s="32" t="n"/>
      <c r="C104" s="32" t="n"/>
      <c r="D104" s="32" t="n"/>
      <c r="E104" s="32" t="n"/>
      <c r="F104" s="32" t="n"/>
      <c r="G104" s="32" t="n"/>
      <c r="H104" s="32" t="n"/>
      <c r="I104" s="32" t="n"/>
      <c r="J104" s="32" t="n"/>
      <c r="K104" s="32" t="n"/>
      <c r="L104" s="32" t="n"/>
      <c r="M104" s="32" t="n"/>
      <c r="N104" s="32" t="n"/>
      <c r="O104" s="32" t="n"/>
    </row>
    <row r="105">
      <c r="A105" s="32" t="n"/>
      <c r="B105" s="32" t="n"/>
      <c r="C105" s="32" t="n"/>
      <c r="D105" s="32" t="n"/>
      <c r="E105" s="32" t="n"/>
      <c r="F105" s="32" t="n"/>
      <c r="G105" s="32" t="n"/>
      <c r="H105" s="32" t="n"/>
      <c r="I105" s="32" t="n"/>
      <c r="J105" s="32" t="n"/>
      <c r="K105" s="32" t="n"/>
      <c r="L105" s="32" t="n"/>
      <c r="M105" s="32" t="n"/>
      <c r="N105" s="32" t="n"/>
      <c r="O105" s="32" t="n"/>
    </row>
    <row r="106">
      <c r="A106" s="32" t="n"/>
      <c r="B106" s="32" t="n"/>
      <c r="C106" s="32" t="n"/>
      <c r="D106" s="32" t="n"/>
      <c r="E106" s="32" t="n"/>
      <c r="F106" s="32" t="n"/>
      <c r="G106" s="32" t="n"/>
      <c r="H106" s="32" t="n"/>
      <c r="I106" s="32" t="n"/>
      <c r="J106" s="32" t="n"/>
      <c r="K106" s="32" t="n"/>
      <c r="L106" s="32" t="n"/>
      <c r="M106" s="32" t="n"/>
      <c r="N106" s="32" t="n"/>
      <c r="O106" s="32" t="n"/>
    </row>
    <row r="107">
      <c r="A107" s="32" t="n"/>
      <c r="B107" s="32" t="n"/>
      <c r="C107" s="32" t="n"/>
      <c r="D107" s="32" t="n"/>
      <c r="E107" s="32" t="n"/>
      <c r="F107" s="32" t="n"/>
      <c r="G107" s="32" t="n"/>
      <c r="H107" s="32" t="n"/>
      <c r="I107" s="32" t="n"/>
      <c r="J107" s="32" t="n"/>
      <c r="K107" s="32" t="n"/>
      <c r="L107" s="32" t="n"/>
      <c r="M107" s="32" t="n"/>
      <c r="N107" s="32" t="n"/>
      <c r="O107" s="32" t="n"/>
    </row>
    <row r="108">
      <c r="A108" s="32" t="n"/>
      <c r="B108" s="32" t="n"/>
      <c r="C108" s="32" t="n"/>
      <c r="D108" s="32" t="n"/>
      <c r="E108" s="32" t="n"/>
      <c r="F108" s="32" t="n"/>
      <c r="G108" s="32" t="n"/>
      <c r="H108" s="32" t="n"/>
      <c r="I108" s="32" t="n"/>
      <c r="J108" s="32" t="n"/>
      <c r="K108" s="32" t="n"/>
      <c r="L108" s="32" t="n"/>
      <c r="M108" s="32" t="n"/>
      <c r="N108" s="32" t="n"/>
      <c r="O108" s="32" t="n"/>
    </row>
    <row r="109">
      <c r="A109" s="32" t="n"/>
      <c r="B109" s="32" t="n"/>
      <c r="C109" s="32" t="n"/>
      <c r="D109" s="32" t="n"/>
      <c r="E109" s="32" t="n"/>
      <c r="F109" s="32" t="n"/>
      <c r="G109" s="32" t="n"/>
      <c r="H109" s="32" t="n"/>
      <c r="I109" s="32" t="n"/>
      <c r="J109" s="32" t="n"/>
      <c r="K109" s="32" t="n"/>
      <c r="L109" s="32" t="n"/>
      <c r="M109" s="32" t="n"/>
      <c r="N109" s="32" t="n"/>
      <c r="O109" s="32" t="n"/>
    </row>
    <row r="110">
      <c r="A110" s="32" t="n"/>
      <c r="B110" s="32" t="n"/>
      <c r="C110" s="32" t="n"/>
      <c r="D110" s="32" t="n"/>
      <c r="E110" s="32" t="n"/>
      <c r="F110" s="32" t="n"/>
      <c r="G110" s="32" t="n"/>
      <c r="H110" s="32" t="n"/>
      <c r="I110" s="32" t="n"/>
      <c r="J110" s="32" t="n"/>
      <c r="K110" s="32" t="n"/>
      <c r="L110" s="32" t="n"/>
      <c r="M110" s="32" t="n"/>
      <c r="N110" s="32" t="n"/>
      <c r="O110" s="32" t="n"/>
    </row>
    <row r="111">
      <c r="A111" s="32" t="n"/>
      <c r="B111" s="32" t="n"/>
      <c r="C111" s="32" t="n"/>
      <c r="D111" s="32" t="n"/>
      <c r="E111" s="32" t="n"/>
      <c r="F111" s="32" t="n"/>
      <c r="G111" s="32" t="n"/>
      <c r="H111" s="32" t="n"/>
      <c r="I111" s="32" t="n"/>
      <c r="J111" s="32" t="n"/>
      <c r="K111" s="32" t="n"/>
      <c r="L111" s="32" t="n"/>
      <c r="M111" s="32" t="n"/>
      <c r="N111" s="32" t="n"/>
      <c r="O111" s="32" t="n"/>
    </row>
    <row r="112">
      <c r="A112" s="32" t="n"/>
      <c r="B112" s="32" t="n"/>
      <c r="C112" s="32" t="n"/>
      <c r="D112" s="32" t="n"/>
      <c r="E112" s="32" t="n"/>
      <c r="F112" s="32" t="n"/>
      <c r="G112" s="32" t="n"/>
      <c r="H112" s="32" t="n"/>
      <c r="I112" s="32" t="n"/>
      <c r="J112" s="32" t="n"/>
      <c r="K112" s="32" t="n"/>
      <c r="L112" s="32" t="n"/>
      <c r="M112" s="32" t="n"/>
      <c r="N112" s="32" t="n"/>
      <c r="O112" s="32" t="n"/>
    </row>
    <row r="113">
      <c r="A113" s="32" t="n"/>
      <c r="B113" s="32" t="n"/>
      <c r="C113" s="32" t="n"/>
      <c r="D113" s="32" t="n"/>
      <c r="E113" s="32" t="n"/>
      <c r="F113" s="32" t="n"/>
      <c r="G113" s="32" t="n"/>
      <c r="H113" s="32" t="n"/>
      <c r="I113" s="32" t="n"/>
      <c r="J113" s="32" t="n"/>
      <c r="K113" s="32" t="n"/>
      <c r="L113" s="32" t="n"/>
      <c r="M113" s="32" t="n"/>
      <c r="N113" s="32" t="n"/>
      <c r="O113" s="32" t="n"/>
    </row>
    <row r="114">
      <c r="A114" s="32" t="n"/>
      <c r="B114" s="32" t="n"/>
      <c r="C114" s="32" t="n"/>
      <c r="D114" s="32" t="n"/>
      <c r="E114" s="32" t="n"/>
      <c r="F114" s="32" t="n"/>
      <c r="G114" s="32" t="n"/>
      <c r="H114" s="32" t="n"/>
      <c r="I114" s="32" t="n"/>
      <c r="J114" s="32" t="n"/>
      <c r="K114" s="32" t="n"/>
      <c r="L114" s="32" t="n"/>
      <c r="M114" s="32" t="n"/>
      <c r="N114" s="32" t="n"/>
      <c r="O114" s="32" t="n"/>
    </row>
    <row r="115">
      <c r="A115" s="32" t="n"/>
      <c r="B115" s="32" t="n"/>
      <c r="C115" s="32" t="n"/>
      <c r="D115" s="32" t="n"/>
      <c r="E115" s="32" t="n"/>
      <c r="F115" s="32" t="n"/>
      <c r="G115" s="32" t="n"/>
      <c r="H115" s="32" t="n"/>
      <c r="I115" s="32" t="n"/>
      <c r="J115" s="32" t="n"/>
      <c r="K115" s="32" t="n"/>
      <c r="L115" s="32" t="n"/>
      <c r="M115" s="32" t="n"/>
      <c r="N115" s="32" t="n"/>
      <c r="O115" s="32" t="n"/>
    </row>
    <row r="116">
      <c r="A116" s="32" t="n"/>
      <c r="B116" s="32" t="n"/>
      <c r="C116" s="32" t="n"/>
      <c r="D116" s="32" t="n"/>
      <c r="E116" s="32" t="n"/>
      <c r="F116" s="32" t="n"/>
      <c r="G116" s="32" t="n"/>
      <c r="H116" s="32" t="n"/>
      <c r="I116" s="32" t="n"/>
      <c r="J116" s="32" t="n"/>
      <c r="K116" s="32" t="n"/>
      <c r="L116" s="32" t="n"/>
      <c r="M116" s="32" t="n"/>
      <c r="N116" s="32" t="n"/>
      <c r="O116" s="32" t="n"/>
    </row>
    <row r="117">
      <c r="A117" s="32" t="n"/>
      <c r="B117" s="32" t="n"/>
      <c r="C117" s="32" t="n"/>
      <c r="D117" s="32" t="n"/>
      <c r="E117" s="32" t="n"/>
      <c r="F117" s="32" t="n"/>
      <c r="G117" s="32" t="n"/>
      <c r="H117" s="32" t="n"/>
      <c r="I117" s="32" t="n"/>
      <c r="J117" s="32" t="n"/>
      <c r="K117" s="32" t="n"/>
      <c r="L117" s="32" t="n"/>
      <c r="M117" s="32" t="n"/>
      <c r="N117" s="32" t="n"/>
      <c r="O117" s="32" t="n"/>
    </row>
    <row r="118">
      <c r="A118" s="32" t="n"/>
      <c r="B118" s="32" t="n"/>
      <c r="C118" s="32" t="n"/>
      <c r="D118" s="32" t="n"/>
      <c r="E118" s="32" t="n"/>
      <c r="F118" s="32" t="n"/>
      <c r="G118" s="32" t="n"/>
      <c r="H118" s="32" t="n"/>
      <c r="I118" s="32" t="n"/>
      <c r="J118" s="32" t="n"/>
      <c r="K118" s="32" t="n"/>
      <c r="L118" s="32" t="n"/>
      <c r="M118" s="32" t="n"/>
      <c r="N118" s="32" t="n"/>
      <c r="O118" s="32" t="n"/>
    </row>
    <row r="119">
      <c r="A119" s="32" t="n"/>
      <c r="B119" s="32" t="n"/>
      <c r="C119" s="32" t="n"/>
      <c r="D119" s="32" t="n"/>
      <c r="E119" s="32" t="n"/>
      <c r="F119" s="32" t="n"/>
      <c r="G119" s="32" t="n"/>
      <c r="H119" s="32" t="n"/>
      <c r="I119" s="32" t="n"/>
      <c r="J119" s="32" t="n"/>
      <c r="K119" s="32" t="n"/>
      <c r="L119" s="32" t="n"/>
      <c r="M119" s="32" t="n"/>
      <c r="N119" s="32" t="n"/>
      <c r="O119" s="32" t="n"/>
    </row>
    <row r="120">
      <c r="A120" s="32" t="n"/>
      <c r="B120" s="32" t="n"/>
      <c r="C120" s="32" t="n"/>
      <c r="D120" s="32" t="n"/>
      <c r="E120" s="32" t="n"/>
      <c r="F120" s="32" t="n"/>
      <c r="G120" s="32" t="n"/>
      <c r="H120" s="32" t="n"/>
      <c r="I120" s="32" t="n"/>
      <c r="J120" s="32" t="n"/>
      <c r="K120" s="32" t="n"/>
      <c r="L120" s="32" t="n"/>
      <c r="M120" s="32" t="n"/>
      <c r="N120" s="32" t="n"/>
      <c r="O120" s="32" t="n"/>
    </row>
    <row r="121">
      <c r="A121" s="32" t="n"/>
      <c r="B121" s="32" t="n"/>
      <c r="C121" s="32" t="n"/>
      <c r="D121" s="32" t="n"/>
      <c r="E121" s="32" t="n"/>
      <c r="F121" s="32" t="n"/>
      <c r="G121" s="32" t="n"/>
      <c r="H121" s="32" t="n"/>
      <c r="I121" s="32" t="n"/>
      <c r="J121" s="32" t="n"/>
      <c r="K121" s="32" t="n"/>
      <c r="L121" s="32" t="n"/>
      <c r="M121" s="32" t="n"/>
      <c r="N121" s="32" t="n"/>
      <c r="O121" s="32" t="n"/>
    </row>
    <row r="122">
      <c r="A122" s="32" t="n"/>
      <c r="B122" s="32" t="n"/>
      <c r="C122" s="32" t="n"/>
      <c r="D122" s="32" t="n"/>
      <c r="E122" s="32" t="n"/>
      <c r="F122" s="32" t="n"/>
      <c r="G122" s="32" t="n"/>
      <c r="H122" s="32" t="n"/>
      <c r="I122" s="32" t="n"/>
      <c r="J122" s="32" t="n"/>
      <c r="K122" s="32" t="n"/>
      <c r="L122" s="32" t="n"/>
      <c r="M122" s="32" t="n"/>
      <c r="N122" s="32" t="n"/>
      <c r="O122" s="32" t="n"/>
    </row>
    <row r="123">
      <c r="A123" s="32" t="n"/>
      <c r="B123" s="32" t="n"/>
      <c r="C123" s="32" t="n"/>
      <c r="D123" s="32" t="n"/>
      <c r="E123" s="32" t="n"/>
      <c r="F123" s="32" t="n"/>
      <c r="G123" s="32" t="n"/>
      <c r="H123" s="32" t="n"/>
      <c r="I123" s="32" t="n"/>
      <c r="J123" s="32" t="n"/>
      <c r="K123" s="32" t="n"/>
      <c r="L123" s="32" t="n"/>
      <c r="M123" s="32" t="n"/>
      <c r="N123" s="32" t="n"/>
      <c r="O123" s="32" t="n"/>
    </row>
    <row r="124">
      <c r="A124" s="32" t="n"/>
      <c r="B124" s="32" t="n"/>
      <c r="C124" s="32" t="n"/>
      <c r="D124" s="32" t="n"/>
      <c r="E124" s="32" t="n"/>
      <c r="F124" s="32" t="n"/>
      <c r="G124" s="32" t="n"/>
      <c r="H124" s="32" t="n"/>
      <c r="I124" s="32" t="n"/>
      <c r="J124" s="32" t="n"/>
      <c r="K124" s="32" t="n"/>
      <c r="L124" s="32" t="n"/>
      <c r="M124" s="32" t="n"/>
      <c r="N124" s="32" t="n"/>
      <c r="O124" s="32" t="n"/>
    </row>
    <row r="125">
      <c r="A125" s="32" t="n"/>
      <c r="B125" s="32" t="n"/>
      <c r="C125" s="32" t="n"/>
      <c r="D125" s="32" t="n"/>
      <c r="E125" s="32" t="n"/>
      <c r="F125" s="32" t="n"/>
      <c r="G125" s="32" t="n"/>
      <c r="H125" s="32" t="n"/>
      <c r="I125" s="32" t="n"/>
      <c r="J125" s="32" t="n"/>
      <c r="K125" s="32" t="n"/>
      <c r="L125" s="32" t="n"/>
      <c r="M125" s="32" t="n"/>
      <c r="N125" s="32" t="n"/>
      <c r="O125" s="32" t="n"/>
    </row>
    <row r="126">
      <c r="A126" s="32" t="n"/>
      <c r="B126" s="32" t="n"/>
      <c r="C126" s="32" t="n"/>
      <c r="D126" s="32" t="n"/>
      <c r="E126" s="32" t="n"/>
      <c r="F126" s="32" t="n"/>
      <c r="G126" s="32" t="n"/>
      <c r="H126" s="32" t="n"/>
      <c r="I126" s="32" t="n"/>
      <c r="J126" s="32" t="n"/>
      <c r="K126" s="32" t="n"/>
      <c r="L126" s="32" t="n"/>
      <c r="M126" s="32" t="n"/>
      <c r="N126" s="32" t="n"/>
      <c r="O126" s="32" t="n"/>
    </row>
    <row r="127">
      <c r="A127" s="32" t="n"/>
      <c r="B127" s="32" t="n"/>
      <c r="C127" s="32" t="n"/>
      <c r="D127" s="32" t="n"/>
      <c r="E127" s="32" t="n"/>
      <c r="F127" s="32" t="n"/>
      <c r="G127" s="32" t="n"/>
      <c r="H127" s="32" t="n"/>
      <c r="I127" s="32" t="n"/>
      <c r="J127" s="32" t="n"/>
      <c r="K127" s="32" t="n"/>
      <c r="L127" s="32" t="n"/>
      <c r="M127" s="32" t="n"/>
      <c r="N127" s="32" t="n"/>
      <c r="O127" s="32" t="n"/>
    </row>
    <row r="128">
      <c r="A128" s="32" t="n"/>
      <c r="B128" s="32" t="n"/>
      <c r="C128" s="32" t="n"/>
      <c r="D128" s="32" t="n"/>
      <c r="E128" s="32" t="n"/>
      <c r="F128" s="32" t="n"/>
      <c r="G128" s="32" t="n"/>
      <c r="H128" s="32" t="n"/>
      <c r="I128" s="32" t="n"/>
      <c r="J128" s="32" t="n"/>
      <c r="K128" s="32" t="n"/>
      <c r="L128" s="32" t="n"/>
      <c r="M128" s="32" t="n"/>
      <c r="N128" s="32" t="n"/>
      <c r="O128" s="32" t="n"/>
    </row>
    <row r="129">
      <c r="A129" s="32" t="n"/>
      <c r="B129" s="32" t="n"/>
      <c r="C129" s="32" t="n"/>
      <c r="D129" s="32" t="n"/>
      <c r="E129" s="32" t="n"/>
      <c r="F129" s="32" t="n"/>
      <c r="G129" s="32" t="n"/>
      <c r="H129" s="32" t="n"/>
      <c r="I129" s="32" t="n"/>
      <c r="J129" s="32" t="n"/>
      <c r="K129" s="32" t="n"/>
      <c r="L129" s="32" t="n"/>
      <c r="M129" s="32" t="n"/>
      <c r="N129" s="32" t="n"/>
      <c r="O129" s="32" t="n"/>
    </row>
    <row r="130">
      <c r="A130" s="32" t="n"/>
      <c r="B130" s="32" t="n"/>
      <c r="C130" s="32" t="n"/>
      <c r="D130" s="32" t="n"/>
      <c r="E130" s="32" t="n"/>
      <c r="F130" s="32" t="n"/>
      <c r="G130" s="32" t="n"/>
      <c r="H130" s="32" t="n"/>
      <c r="I130" s="32" t="n"/>
      <c r="J130" s="32" t="n"/>
      <c r="K130" s="32" t="n"/>
      <c r="L130" s="32" t="n"/>
      <c r="M130" s="32" t="n"/>
      <c r="N130" s="32" t="n"/>
      <c r="O130" s="32" t="n"/>
    </row>
    <row r="131">
      <c r="A131" s="32" t="n"/>
      <c r="B131" s="32" t="n"/>
      <c r="C131" s="32" t="n"/>
      <c r="D131" s="32" t="n"/>
      <c r="E131" s="32" t="n"/>
      <c r="F131" s="32" t="n"/>
      <c r="G131" s="32" t="n"/>
      <c r="H131" s="32" t="n"/>
      <c r="I131" s="32" t="n"/>
      <c r="J131" s="32" t="n"/>
      <c r="K131" s="32" t="n"/>
      <c r="L131" s="32" t="n"/>
      <c r="M131" s="32" t="n"/>
      <c r="N131" s="32" t="n"/>
      <c r="O131" s="32" t="n"/>
    </row>
    <row r="132">
      <c r="A132" s="32" t="n"/>
      <c r="B132" s="32" t="n"/>
      <c r="C132" s="32" t="n"/>
      <c r="D132" s="32" t="n"/>
      <c r="E132" s="32" t="n"/>
      <c r="F132" s="32" t="n"/>
      <c r="G132" s="32" t="n"/>
      <c r="H132" s="32" t="n"/>
      <c r="I132" s="32" t="n"/>
      <c r="J132" s="32" t="n"/>
      <c r="K132" s="32" t="n"/>
      <c r="L132" s="32" t="n"/>
      <c r="M132" s="32" t="n"/>
      <c r="N132" s="32" t="n"/>
      <c r="O132" s="32" t="n"/>
    </row>
    <row r="133">
      <c r="A133" s="32" t="n"/>
      <c r="B133" s="32" t="n"/>
      <c r="C133" s="32" t="n"/>
      <c r="D133" s="32" t="n"/>
      <c r="E133" s="32" t="n"/>
      <c r="F133" s="32" t="n"/>
      <c r="G133" s="32" t="n"/>
      <c r="H133" s="32" t="n"/>
      <c r="I133" s="32" t="n"/>
      <c r="J133" s="32" t="n"/>
      <c r="K133" s="32" t="n"/>
      <c r="L133" s="32" t="n"/>
      <c r="M133" s="32" t="n"/>
      <c r="N133" s="32" t="n"/>
      <c r="O133" s="32" t="n"/>
    </row>
    <row r="134">
      <c r="A134" s="32" t="n"/>
      <c r="B134" s="32" t="n"/>
      <c r="C134" s="32" t="n"/>
      <c r="D134" s="32" t="n"/>
      <c r="E134" s="32" t="n"/>
      <c r="F134" s="32" t="n"/>
      <c r="G134" s="32" t="n"/>
      <c r="H134" s="32" t="n"/>
      <c r="I134" s="32" t="n"/>
      <c r="J134" s="32" t="n"/>
      <c r="K134" s="32" t="n"/>
      <c r="L134" s="32" t="n"/>
      <c r="M134" s="32" t="n"/>
      <c r="N134" s="32" t="n"/>
      <c r="O134" s="32" t="n"/>
    </row>
    <row r="135">
      <c r="A135" s="32" t="n"/>
      <c r="B135" s="32" t="n"/>
      <c r="C135" s="32" t="n"/>
      <c r="D135" s="32" t="n"/>
      <c r="E135" s="32" t="n"/>
      <c r="F135" s="32" t="n"/>
      <c r="G135" s="32" t="n"/>
      <c r="H135" s="32" t="n"/>
      <c r="I135" s="32" t="n"/>
      <c r="J135" s="32" t="n"/>
      <c r="K135" s="32" t="n"/>
      <c r="L135" s="32" t="n"/>
      <c r="M135" s="32" t="n"/>
      <c r="N135" s="32" t="n"/>
      <c r="O135" s="32" t="n"/>
    </row>
    <row r="136">
      <c r="A136" s="32" t="n"/>
      <c r="B136" s="32" t="n"/>
      <c r="C136" s="32" t="n"/>
      <c r="D136" s="32" t="n"/>
      <c r="E136" s="32" t="n"/>
      <c r="F136" s="32" t="n"/>
      <c r="G136" s="32" t="n"/>
      <c r="H136" s="32" t="n"/>
      <c r="I136" s="32" t="n"/>
      <c r="J136" s="32" t="n"/>
      <c r="K136" s="32" t="n"/>
      <c r="L136" s="32" t="n"/>
      <c r="M136" s="32" t="n"/>
      <c r="N136" s="32" t="n"/>
      <c r="O136" s="32" t="n"/>
    </row>
    <row r="137">
      <c r="A137" s="32" t="n"/>
      <c r="B137" s="32" t="n"/>
      <c r="C137" s="32" t="n"/>
      <c r="D137" s="32" t="n"/>
      <c r="E137" s="32" t="n"/>
      <c r="F137" s="32" t="n"/>
      <c r="G137" s="32" t="n"/>
      <c r="H137" s="32" t="n"/>
      <c r="I137" s="32" t="n"/>
      <c r="J137" s="32" t="n"/>
      <c r="K137" s="32" t="n"/>
      <c r="L137" s="32" t="n"/>
      <c r="M137" s="32" t="n"/>
      <c r="N137" s="32" t="n"/>
      <c r="O137" s="32" t="n"/>
    </row>
    <row r="138">
      <c r="A138" s="32" t="n"/>
      <c r="B138" s="32" t="n"/>
      <c r="C138" s="32" t="n"/>
      <c r="D138" s="32" t="n"/>
      <c r="E138" s="32" t="n"/>
      <c r="F138" s="32" t="n"/>
      <c r="G138" s="32" t="n"/>
      <c r="H138" s="32" t="n"/>
      <c r="I138" s="32" t="n"/>
      <c r="J138" s="32" t="n"/>
      <c r="K138" s="32" t="n"/>
      <c r="L138" s="32" t="n"/>
      <c r="M138" s="32" t="n"/>
      <c r="N138" s="32" t="n"/>
      <c r="O138" s="32" t="n"/>
    </row>
    <row r="139">
      <c r="A139" s="32" t="n"/>
      <c r="B139" s="32" t="n"/>
      <c r="C139" s="32" t="n"/>
      <c r="D139" s="32" t="n"/>
      <c r="E139" s="32" t="n"/>
      <c r="F139" s="32" t="n"/>
      <c r="G139" s="32" t="n"/>
      <c r="H139" s="32" t="n"/>
      <c r="I139" s="32" t="n"/>
      <c r="J139" s="32" t="n"/>
      <c r="K139" s="32" t="n"/>
      <c r="L139" s="32" t="n"/>
      <c r="M139" s="32" t="n"/>
      <c r="N139" s="32" t="n"/>
      <c r="O139" s="32" t="n"/>
    </row>
    <row r="140">
      <c r="A140" s="32" t="n"/>
      <c r="B140" s="32" t="n"/>
      <c r="C140" s="32" t="n"/>
      <c r="D140" s="32" t="n"/>
      <c r="E140" s="32" t="n"/>
      <c r="F140" s="32" t="n"/>
      <c r="G140" s="32" t="n"/>
      <c r="H140" s="32" t="n"/>
      <c r="I140" s="32" t="n"/>
      <c r="J140" s="32" t="n"/>
      <c r="K140" s="32" t="n"/>
      <c r="L140" s="32" t="n"/>
      <c r="M140" s="32" t="n"/>
      <c r="N140" s="32" t="n"/>
      <c r="O140" s="32" t="n"/>
    </row>
  </sheetData>
  <mergeCells count="2">
    <mergeCell ref="A1:O1"/>
    <mergeCell ref="A2:O2"/>
  </mergeCells>
  <conditionalFormatting sqref="G5:G140">
    <cfRule type="expression" priority="1" dxfId="0">
      <formula>G5="PASS"</formula>
    </cfRule>
    <cfRule type="expression" priority="2" dxfId="1">
      <formula>G5="FAIL"</formula>
    </cfRule>
    <cfRule type="expression" priority="3" dxfId="2">
      <formula>G5="RETEST REQUIRED"</formula>
    </cfRule>
    <cfRule type="expression" priority="4" dxfId="3">
      <formula>G5="BLOCKED"</formula>
    </cfRule>
    <cfRule type="expression" priority="5" dxfId="4">
      <formula>G5="PENDING"</formula>
    </cfRule>
  </conditionalFormatting>
  <conditionalFormatting sqref="K5:K140">
    <cfRule type="expression" priority="6" dxfId="5">
      <formula>K5="Critical"</formula>
    </cfRule>
    <cfRule type="expression" priority="7" dxfId="3">
      <formula>K5="High"</formula>
    </cfRule>
    <cfRule type="expression" priority="8" dxfId="2">
      <formula>K5="Medium"</formula>
    </cfRule>
  </conditionalFormatting>
  <dataValidations count="4">
    <dataValidation sqref="G5:G140" showDropDown="0" showInputMessage="0" showErrorMessage="0" allowBlank="0" type="list">
      <formula1>"PENDING,PASS,FAIL,N/A,RETEST REQUIRED,BLOCKED"</formula1>
    </dataValidation>
    <dataValidation sqref="K5:K140" showDropDown="0" showInputMessage="0" showErrorMessage="0" allowBlank="0" type="list">
      <formula1>"Low,Medium,High,Critical"</formula1>
    </dataValidation>
    <dataValidation sqref="L5:L140" showDropDown="0" showInputMessage="0" showErrorMessage="0" allowBlank="0" type="list">
      <formula1>"Hardik,Manus,ChatGPT,Hardware,Home Assistant,LocalTuya,Firmware,Other"</formula1>
    </dataValidation>
    <dataValidation sqref="M5:N140" showDropDown="0" showInputMessage="0" showErrorMessage="0" allowBlank="0" type="list">
      <formula1>"Yes,No,N/A"</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60"/>
  <sheetViews>
    <sheetView workbookViewId="0">
      <pane ySplit="4" topLeftCell="A5" activePane="bottomLeft" state="frozen"/>
      <selection pane="bottomLeft" activeCell="A1" sqref="A1"/>
    </sheetView>
  </sheetViews>
  <sheetFormatPr baseColWidth="8" defaultRowHeight="15"/>
  <cols>
    <col width="9" customWidth="1" min="1" max="1"/>
    <col width="36" customWidth="1" min="2" max="2"/>
    <col width="11" customWidth="1" min="3" max="3"/>
    <col width="32" customWidth="1" min="4" max="4"/>
    <col width="40" customWidth="1" min="5" max="5"/>
    <col width="40" customWidth="1" min="6" max="6"/>
    <col width="9" customWidth="1" min="7" max="7"/>
    <col width="15" customWidth="1" min="8" max="8"/>
    <col width="13" customWidth="1" min="9" max="9"/>
    <col width="14" customWidth="1" min="10" max="10"/>
    <col width="10" customWidth="1" min="11" max="11"/>
    <col width="16" customWidth="1" min="12" max="12"/>
    <col width="11" customWidth="1" min="13" max="13"/>
    <col width="16" customWidth="1" min="14" max="14"/>
    <col width="13" customWidth="1" min="15" max="15"/>
  </cols>
  <sheetData>
    <row r="1" ht="28" customHeight="1">
      <c r="A1" s="50" t="inlineStr">
        <is>
          <t>Stage 2 — Home Assistant Base Configuration</t>
        </is>
      </c>
      <c r="B1" s="51" t="n"/>
      <c r="C1" s="51" t="n"/>
      <c r="D1" s="51" t="n"/>
      <c r="E1" s="51" t="n"/>
      <c r="F1" s="51" t="n"/>
      <c r="G1" s="51" t="n"/>
      <c r="H1" s="51" t="n"/>
      <c r="I1" s="51" t="n"/>
      <c r="J1" s="51" t="n"/>
      <c r="K1" s="51" t="n"/>
      <c r="L1" s="51" t="n"/>
      <c r="M1" s="51" t="n"/>
      <c r="N1" s="51" t="n"/>
      <c r="O1" s="51" t="n"/>
    </row>
    <row r="2" ht="36" customHeight="1">
      <c r="A2" s="52" t="inlineStr">
        <is>
          <t>This is the gate before ESP device tests. light.bedroom_group must work in HA first.</t>
        </is>
      </c>
      <c r="B2" s="53" t="n"/>
      <c r="C2" s="53" t="n"/>
      <c r="D2" s="53" t="n"/>
      <c r="E2" s="53" t="n"/>
      <c r="F2" s="53" t="n"/>
      <c r="G2" s="53" t="n"/>
      <c r="H2" s="53" t="n"/>
      <c r="I2" s="53" t="n"/>
      <c r="J2" s="53" t="n"/>
      <c r="K2" s="53" t="n"/>
      <c r="L2" s="53" t="n"/>
      <c r="M2" s="53" t="n"/>
      <c r="N2" s="53" t="n"/>
      <c r="O2" s="53" t="n"/>
    </row>
    <row r="4" ht="36" customHeight="1">
      <c r="A4" s="42" t="inlineStr">
        <is>
          <t>Step ID</t>
        </is>
      </c>
      <c r="B4" s="42" t="inlineStr">
        <is>
          <t>Stage</t>
        </is>
      </c>
      <c r="C4" s="42" t="inlineStr">
        <is>
          <t>Category</t>
        </is>
      </c>
      <c r="D4" s="42" t="inlineStr">
        <is>
          <t>Step / Test</t>
        </is>
      </c>
      <c r="E4" s="42" t="inlineStr">
        <is>
          <t>Command / Action</t>
        </is>
      </c>
      <c r="F4" s="42" t="inlineStr">
        <is>
          <t>Expected Result</t>
        </is>
      </c>
      <c r="G4" s="42" t="inlineStr">
        <is>
          <t>Status</t>
        </is>
      </c>
      <c r="H4" s="42" t="inlineStr">
        <is>
          <t>Actual Result</t>
        </is>
      </c>
      <c r="I4" s="42" t="inlineStr">
        <is>
          <t>Observation</t>
        </is>
      </c>
      <c r="J4" s="42" t="inlineStr">
        <is>
          <t>Evidence Ref</t>
        </is>
      </c>
      <c r="K4" s="42" t="inlineStr">
        <is>
          <t>Severity</t>
        </is>
      </c>
      <c r="L4" s="42" t="inlineStr">
        <is>
          <t>Owner</t>
        </is>
      </c>
      <c r="M4" s="42" t="inlineStr">
        <is>
          <t>Blocking?</t>
        </is>
      </c>
      <c r="N4" s="42" t="inlineStr">
        <is>
          <t>AI Fix Needed?</t>
        </is>
      </c>
      <c r="O4" s="42" t="inlineStr">
        <is>
          <t>Next Action</t>
        </is>
      </c>
    </row>
    <row r="5">
      <c r="A5" s="54" t="inlineStr">
        <is>
          <t>HA-01</t>
        </is>
      </c>
      <c r="B5" s="44" t="inlineStr">
        <is>
          <t>Stage 2 — HA / ESPHome / LocalTuya</t>
        </is>
      </c>
      <c r="C5" s="44" t="inlineStr">
        <is>
          <t>ESPHome</t>
        </is>
      </c>
      <c r="D5" s="44" t="inlineStr">
        <is>
          <t>Install ESPHome add-on</t>
        </is>
      </c>
      <c r="E5" s="44" t="inlineStr">
        <is>
          <t>Install and start ESPHome add-on in Home Assistant</t>
        </is>
      </c>
      <c r="F5" s="44" t="inlineStr">
        <is>
          <t>ESPHome dashboard opens</t>
        </is>
      </c>
      <c r="G5" s="55" t="inlineStr">
        <is>
          <t>PENDING</t>
        </is>
      </c>
      <c r="H5" s="44" t="str"/>
      <c r="I5" s="44" t="str"/>
      <c r="J5" s="44" t="str"/>
      <c r="K5" s="56" t="inlineStr">
        <is>
          <t>High</t>
        </is>
      </c>
      <c r="L5" s="44" t="inlineStr">
        <is>
          <t>Home Assistant</t>
        </is>
      </c>
      <c r="M5" s="44" t="inlineStr">
        <is>
          <t>Yes</t>
        </is>
      </c>
      <c r="N5" s="44" t="inlineStr">
        <is>
          <t>No</t>
        </is>
      </c>
      <c r="O5" s="44" t="str"/>
    </row>
    <row r="6">
      <c r="A6" s="57" t="inlineStr">
        <is>
          <t>HA-02</t>
        </is>
      </c>
      <c r="B6" s="43" t="inlineStr">
        <is>
          <t>Stage 2 — HA / ESPHome / LocalTuya</t>
        </is>
      </c>
      <c r="C6" s="43" t="inlineStr">
        <is>
          <t>Secrets</t>
        </is>
      </c>
      <c r="D6" s="43" t="inlineStr">
        <is>
          <t>Configure local secrets</t>
        </is>
      </c>
      <c r="E6" s="43" t="inlineStr">
        <is>
          <t>Create local esphome/secrets.yaml with Wi-Fi/API/OTA values</t>
        </is>
      </c>
      <c r="F6" s="43" t="inlineStr">
        <is>
          <t>Secrets are local only</t>
        </is>
      </c>
      <c r="G6" s="55" t="inlineStr">
        <is>
          <t>PENDING</t>
        </is>
      </c>
      <c r="H6" s="43" t="str"/>
      <c r="I6" s="43" t="str"/>
      <c r="J6" s="43" t="str"/>
      <c r="K6" s="59" t="inlineStr">
        <is>
          <t>Critical</t>
        </is>
      </c>
      <c r="L6" s="43" t="inlineStr">
        <is>
          <t>Hardik</t>
        </is>
      </c>
      <c r="M6" s="43" t="inlineStr">
        <is>
          <t>Yes</t>
        </is>
      </c>
      <c r="N6" s="43" t="inlineStr">
        <is>
          <t>No</t>
        </is>
      </c>
      <c r="O6" s="43" t="str"/>
    </row>
    <row r="7">
      <c r="A7" s="54" t="inlineStr">
        <is>
          <t>HA-03</t>
        </is>
      </c>
      <c r="B7" s="44" t="inlineStr">
        <is>
          <t>Stage 2 — HA / ESPHome / LocalTuya</t>
        </is>
      </c>
      <c r="C7" s="44" t="inlineStr">
        <is>
          <t>Secrets</t>
        </is>
      </c>
      <c r="D7" s="44" t="inlineStr">
        <is>
          <t>Confirm no secrets committed</t>
        </is>
      </c>
      <c r="E7" s="44" t="inlineStr">
        <is>
          <t>Check repo status / files</t>
        </is>
      </c>
      <c r="F7" s="44" t="inlineStr">
        <is>
          <t>No real credentials in repo</t>
        </is>
      </c>
      <c r="G7" s="55" t="inlineStr">
        <is>
          <t>PENDING</t>
        </is>
      </c>
      <c r="H7" s="44" t="str"/>
      <c r="I7" s="44" t="str"/>
      <c r="J7" s="44" t="str"/>
      <c r="K7" s="60" t="inlineStr">
        <is>
          <t>Critical</t>
        </is>
      </c>
      <c r="L7" s="44" t="inlineStr">
        <is>
          <t>Hardik</t>
        </is>
      </c>
      <c r="M7" s="44" t="inlineStr">
        <is>
          <t>Yes</t>
        </is>
      </c>
      <c r="N7" s="44" t="inlineStr">
        <is>
          <t>No</t>
        </is>
      </c>
      <c r="O7" s="44" t="str"/>
    </row>
    <row r="8">
      <c r="A8" s="57" t="inlineStr">
        <is>
          <t>HA-04</t>
        </is>
      </c>
      <c r="B8" s="43" t="inlineStr">
        <is>
          <t>Stage 2 — HA / ESPHome / LocalTuya</t>
        </is>
      </c>
      <c r="C8" s="43" t="inlineStr">
        <is>
          <t>LocalTuya</t>
        </is>
      </c>
      <c r="D8" s="43" t="inlineStr">
        <is>
          <t>Install local bulb integration</t>
        </is>
      </c>
      <c r="E8" s="43" t="inlineStr">
        <is>
          <t>Install/configure LocalTuya or chosen local integration</t>
        </is>
      </c>
      <c r="F8" s="43" t="inlineStr">
        <is>
          <t>Integration loads</t>
        </is>
      </c>
      <c r="G8" s="55" t="inlineStr">
        <is>
          <t>PENDING</t>
        </is>
      </c>
      <c r="H8" s="43" t="str"/>
      <c r="I8" s="43" t="str"/>
      <c r="J8" s="43" t="str"/>
      <c r="K8" s="58" t="inlineStr">
        <is>
          <t>High</t>
        </is>
      </c>
      <c r="L8" s="43" t="inlineStr">
        <is>
          <t>LocalTuya</t>
        </is>
      </c>
      <c r="M8" s="43" t="inlineStr">
        <is>
          <t>Yes</t>
        </is>
      </c>
      <c r="N8" s="43" t="inlineStr">
        <is>
          <t>No</t>
        </is>
      </c>
      <c r="O8" s="43" t="str"/>
    </row>
    <row r="9">
      <c r="A9" s="54" t="inlineStr">
        <is>
          <t>HA-05</t>
        </is>
      </c>
      <c r="B9" s="44" t="inlineStr">
        <is>
          <t>Stage 2 — HA / ESPHome / LocalTuya</t>
        </is>
      </c>
      <c r="C9" s="44" t="inlineStr">
        <is>
          <t>Bulbs</t>
        </is>
      </c>
      <c r="D9" s="44" t="inlineStr">
        <is>
          <t>Add bedroom bulbs</t>
        </is>
      </c>
      <c r="E9" s="44" t="inlineStr">
        <is>
          <t>Add each bulb to HA</t>
        </is>
      </c>
      <c r="F9" s="44" t="inlineStr">
        <is>
          <t>Bulbs appear as light entities</t>
        </is>
      </c>
      <c r="G9" s="55" t="inlineStr">
        <is>
          <t>PENDING</t>
        </is>
      </c>
      <c r="H9" s="44" t="str"/>
      <c r="I9" s="44" t="str"/>
      <c r="J9" s="44" t="str"/>
      <c r="K9" s="56" t="inlineStr">
        <is>
          <t>High</t>
        </is>
      </c>
      <c r="L9" s="44" t="inlineStr">
        <is>
          <t>LocalTuya</t>
        </is>
      </c>
      <c r="M9" s="44" t="inlineStr">
        <is>
          <t>Yes</t>
        </is>
      </c>
      <c r="N9" s="44" t="inlineStr">
        <is>
          <t>No</t>
        </is>
      </c>
      <c r="O9" s="44" t="str"/>
    </row>
    <row r="10">
      <c r="A10" s="57" t="inlineStr">
        <is>
          <t>HA-06</t>
        </is>
      </c>
      <c r="B10" s="43" t="inlineStr">
        <is>
          <t>Stage 2 — HA / ESPHome / LocalTuya</t>
        </is>
      </c>
      <c r="C10" s="43" t="inlineStr">
        <is>
          <t>Bulbs</t>
        </is>
      </c>
      <c r="D10" s="43" t="inlineStr">
        <is>
          <t>Test individual bulbs</t>
        </is>
      </c>
      <c r="E10" s="43" t="inlineStr">
        <is>
          <t>Test ON/OFF, brightness, color temp in HA</t>
        </is>
      </c>
      <c r="F10" s="43" t="inlineStr">
        <is>
          <t>Each bulb responds correctly</t>
        </is>
      </c>
      <c r="G10" s="55" t="inlineStr">
        <is>
          <t>PENDING</t>
        </is>
      </c>
      <c r="H10" s="43" t="str"/>
      <c r="I10" s="43" t="str"/>
      <c r="J10" s="43" t="str"/>
      <c r="K10" s="59" t="inlineStr">
        <is>
          <t>Critical</t>
        </is>
      </c>
      <c r="L10" s="43" t="inlineStr">
        <is>
          <t>LocalTuya</t>
        </is>
      </c>
      <c r="M10" s="43" t="inlineStr">
        <is>
          <t>Yes</t>
        </is>
      </c>
      <c r="N10" s="43" t="inlineStr">
        <is>
          <t>No</t>
        </is>
      </c>
      <c r="O10" s="43" t="str"/>
    </row>
    <row r="11">
      <c r="A11" s="54" t="inlineStr">
        <is>
          <t>HA-07</t>
        </is>
      </c>
      <c r="B11" s="44" t="inlineStr">
        <is>
          <t>Stage 2 — HA / ESPHome / LocalTuya</t>
        </is>
      </c>
      <c r="C11" s="44" t="inlineStr">
        <is>
          <t>Group</t>
        </is>
      </c>
      <c r="D11" s="44" t="inlineStr">
        <is>
          <t>Create light.bedroom_group</t>
        </is>
      </c>
      <c r="E11" s="44" t="inlineStr">
        <is>
          <t>Create HA light group with bedroom bulbs</t>
        </is>
      </c>
      <c r="F11" s="44" t="inlineStr">
        <is>
          <t>Entity exists exactly as light.bedroom_group</t>
        </is>
      </c>
      <c r="G11" s="55" t="inlineStr">
        <is>
          <t>PENDING</t>
        </is>
      </c>
      <c r="H11" s="44" t="str"/>
      <c r="I11" s="44" t="str"/>
      <c r="J11" s="44" t="str"/>
      <c r="K11" s="60" t="inlineStr">
        <is>
          <t>Critical</t>
        </is>
      </c>
      <c r="L11" s="44" t="inlineStr">
        <is>
          <t>Home Assistant</t>
        </is>
      </c>
      <c r="M11" s="44" t="inlineStr">
        <is>
          <t>Yes</t>
        </is>
      </c>
      <c r="N11" s="44" t="inlineStr">
        <is>
          <t>No</t>
        </is>
      </c>
      <c r="O11" s="44" t="str"/>
    </row>
    <row r="12">
      <c r="A12" s="57" t="inlineStr">
        <is>
          <t>HA-08</t>
        </is>
      </c>
      <c r="B12" s="43" t="inlineStr">
        <is>
          <t>Stage 2 — HA / ESPHome / LocalTuya</t>
        </is>
      </c>
      <c r="C12" s="43" t="inlineStr">
        <is>
          <t>Group</t>
        </is>
      </c>
      <c r="D12" s="43" t="inlineStr">
        <is>
          <t>Test group from HA</t>
        </is>
      </c>
      <c r="E12" s="43" t="inlineStr">
        <is>
          <t>Toggle, dim, color-temp the group from HA UI</t>
        </is>
      </c>
      <c r="F12" s="43" t="inlineStr">
        <is>
          <t>All intended bulbs respond together</t>
        </is>
      </c>
      <c r="G12" s="55" t="inlineStr">
        <is>
          <t>PENDING</t>
        </is>
      </c>
      <c r="H12" s="43" t="str"/>
      <c r="I12" s="43" t="str"/>
      <c r="J12" s="43" t="str"/>
      <c r="K12" s="59" t="inlineStr">
        <is>
          <t>Critical</t>
        </is>
      </c>
      <c r="L12" s="43" t="inlineStr">
        <is>
          <t>Home Assistant</t>
        </is>
      </c>
      <c r="M12" s="43" t="inlineStr">
        <is>
          <t>Yes</t>
        </is>
      </c>
      <c r="N12" s="43" t="inlineStr">
        <is>
          <t>No</t>
        </is>
      </c>
      <c r="O12" s="43" t="str"/>
    </row>
    <row r="13">
      <c r="A13" s="32" t="n"/>
      <c r="B13" s="32" t="n"/>
      <c r="C13" s="32" t="n"/>
      <c r="D13" s="32" t="n"/>
      <c r="E13" s="32" t="n"/>
      <c r="F13" s="32" t="n"/>
      <c r="G13" s="32" t="n"/>
      <c r="H13" s="32" t="n"/>
      <c r="I13" s="32" t="n"/>
      <c r="J13" s="32" t="n"/>
      <c r="K13" s="32" t="n"/>
      <c r="L13" s="32" t="n"/>
      <c r="M13" s="32" t="n"/>
      <c r="N13" s="32" t="n"/>
      <c r="O13" s="32" t="n"/>
    </row>
    <row r="14">
      <c r="A14" s="32" t="n"/>
      <c r="B14" s="32" t="n"/>
      <c r="C14" s="32" t="n"/>
      <c r="D14" s="32" t="n"/>
      <c r="E14" s="32" t="n"/>
      <c r="F14" s="32" t="n"/>
      <c r="G14" s="32" t="n"/>
      <c r="H14" s="32" t="n"/>
      <c r="I14" s="32" t="n"/>
      <c r="J14" s="32" t="n"/>
      <c r="K14" s="32" t="n"/>
      <c r="L14" s="32" t="n"/>
      <c r="M14" s="32" t="n"/>
      <c r="N14" s="32" t="n"/>
      <c r="O14" s="32" t="n"/>
    </row>
    <row r="15">
      <c r="A15" s="32" t="n"/>
      <c r="B15" s="32" t="n"/>
      <c r="C15" s="32" t="n"/>
      <c r="D15" s="32" t="n"/>
      <c r="E15" s="32" t="n"/>
      <c r="F15" s="32" t="n"/>
      <c r="G15" s="32" t="n"/>
      <c r="H15" s="32" t="n"/>
      <c r="I15" s="32" t="n"/>
      <c r="J15" s="32" t="n"/>
      <c r="K15" s="32" t="n"/>
      <c r="L15" s="32" t="n"/>
      <c r="M15" s="32" t="n"/>
      <c r="N15" s="32" t="n"/>
      <c r="O15" s="32" t="n"/>
    </row>
    <row r="16">
      <c r="A16" s="32" t="n"/>
      <c r="B16" s="32" t="n"/>
      <c r="C16" s="32" t="n"/>
      <c r="D16" s="32" t="n"/>
      <c r="E16" s="32" t="n"/>
      <c r="F16" s="32" t="n"/>
      <c r="G16" s="32" t="n"/>
      <c r="H16" s="32" t="n"/>
      <c r="I16" s="32" t="n"/>
      <c r="J16" s="32" t="n"/>
      <c r="K16" s="32" t="n"/>
      <c r="L16" s="32" t="n"/>
      <c r="M16" s="32" t="n"/>
      <c r="N16" s="32" t="n"/>
      <c r="O16" s="32" t="n"/>
    </row>
    <row r="17">
      <c r="A17" s="32" t="n"/>
      <c r="B17" s="32" t="n"/>
      <c r="C17" s="32" t="n"/>
      <c r="D17" s="32" t="n"/>
      <c r="E17" s="32" t="n"/>
      <c r="F17" s="32" t="n"/>
      <c r="G17" s="32" t="n"/>
      <c r="H17" s="32" t="n"/>
      <c r="I17" s="32" t="n"/>
      <c r="J17" s="32" t="n"/>
      <c r="K17" s="32" t="n"/>
      <c r="L17" s="32" t="n"/>
      <c r="M17" s="32" t="n"/>
      <c r="N17" s="32" t="n"/>
      <c r="O17" s="32" t="n"/>
    </row>
    <row r="18">
      <c r="A18" s="32" t="n"/>
      <c r="B18" s="32" t="n"/>
      <c r="C18" s="32" t="n"/>
      <c r="D18" s="32" t="n"/>
      <c r="E18" s="32" t="n"/>
      <c r="F18" s="32" t="n"/>
      <c r="G18" s="32" t="n"/>
      <c r="H18" s="32" t="n"/>
      <c r="I18" s="32" t="n"/>
      <c r="J18" s="32" t="n"/>
      <c r="K18" s="32" t="n"/>
      <c r="L18" s="32" t="n"/>
      <c r="M18" s="32" t="n"/>
      <c r="N18" s="32" t="n"/>
      <c r="O18" s="32" t="n"/>
    </row>
    <row r="19">
      <c r="A19" s="32" t="n"/>
      <c r="B19" s="32" t="n"/>
      <c r="C19" s="32" t="n"/>
      <c r="D19" s="32" t="n"/>
      <c r="E19" s="32" t="n"/>
      <c r="F19" s="32" t="n"/>
      <c r="G19" s="32" t="n"/>
      <c r="H19" s="32" t="n"/>
      <c r="I19" s="32" t="n"/>
      <c r="J19" s="32" t="n"/>
      <c r="K19" s="32" t="n"/>
      <c r="L19" s="32" t="n"/>
      <c r="M19" s="32" t="n"/>
      <c r="N19" s="32" t="n"/>
      <c r="O19" s="32" t="n"/>
    </row>
    <row r="20">
      <c r="A20" s="32" t="n"/>
      <c r="B20" s="32" t="n"/>
      <c r="C20" s="32" t="n"/>
      <c r="D20" s="32" t="n"/>
      <c r="E20" s="32" t="n"/>
      <c r="F20" s="32" t="n"/>
      <c r="G20" s="32" t="n"/>
      <c r="H20" s="32" t="n"/>
      <c r="I20" s="32" t="n"/>
      <c r="J20" s="32" t="n"/>
      <c r="K20" s="32" t="n"/>
      <c r="L20" s="32" t="n"/>
      <c r="M20" s="32" t="n"/>
      <c r="N20" s="32" t="n"/>
      <c r="O20" s="32" t="n"/>
    </row>
    <row r="21">
      <c r="A21" s="32" t="n"/>
      <c r="B21" s="32" t="n"/>
      <c r="C21" s="32" t="n"/>
      <c r="D21" s="32" t="n"/>
      <c r="E21" s="32" t="n"/>
      <c r="F21" s="32" t="n"/>
      <c r="G21" s="32" t="n"/>
      <c r="H21" s="32" t="n"/>
      <c r="I21" s="32" t="n"/>
      <c r="J21" s="32" t="n"/>
      <c r="K21" s="32" t="n"/>
      <c r="L21" s="32" t="n"/>
      <c r="M21" s="32" t="n"/>
      <c r="N21" s="32" t="n"/>
      <c r="O21" s="32" t="n"/>
    </row>
    <row r="22">
      <c r="A22" s="32" t="n"/>
      <c r="B22" s="32" t="n"/>
      <c r="C22" s="32" t="n"/>
      <c r="D22" s="32" t="n"/>
      <c r="E22" s="32" t="n"/>
      <c r="F22" s="32" t="n"/>
      <c r="G22" s="32" t="n"/>
      <c r="H22" s="32" t="n"/>
      <c r="I22" s="32" t="n"/>
      <c r="J22" s="32" t="n"/>
      <c r="K22" s="32" t="n"/>
      <c r="L22" s="32" t="n"/>
      <c r="M22" s="32" t="n"/>
      <c r="N22" s="32" t="n"/>
      <c r="O22" s="32" t="n"/>
    </row>
    <row r="23">
      <c r="A23" s="32" t="n"/>
      <c r="B23" s="32" t="n"/>
      <c r="C23" s="32" t="n"/>
      <c r="D23" s="32" t="n"/>
      <c r="E23" s="32" t="n"/>
      <c r="F23" s="32" t="n"/>
      <c r="G23" s="32" t="n"/>
      <c r="H23" s="32" t="n"/>
      <c r="I23" s="32" t="n"/>
      <c r="J23" s="32" t="n"/>
      <c r="K23" s="32" t="n"/>
      <c r="L23" s="32" t="n"/>
      <c r="M23" s="32" t="n"/>
      <c r="N23" s="32" t="n"/>
      <c r="O23" s="32" t="n"/>
    </row>
    <row r="24">
      <c r="A24" s="32" t="n"/>
      <c r="B24" s="32" t="n"/>
      <c r="C24" s="32" t="n"/>
      <c r="D24" s="32" t="n"/>
      <c r="E24" s="32" t="n"/>
      <c r="F24" s="32" t="n"/>
      <c r="G24" s="32" t="n"/>
      <c r="H24" s="32" t="n"/>
      <c r="I24" s="32" t="n"/>
      <c r="J24" s="32" t="n"/>
      <c r="K24" s="32" t="n"/>
      <c r="L24" s="32" t="n"/>
      <c r="M24" s="32" t="n"/>
      <c r="N24" s="32" t="n"/>
      <c r="O24" s="32" t="n"/>
    </row>
    <row r="25">
      <c r="A25" s="32" t="n"/>
      <c r="B25" s="32" t="n"/>
      <c r="C25" s="32" t="n"/>
      <c r="D25" s="32" t="n"/>
      <c r="E25" s="32" t="n"/>
      <c r="F25" s="32" t="n"/>
      <c r="G25" s="32" t="n"/>
      <c r="H25" s="32" t="n"/>
      <c r="I25" s="32" t="n"/>
      <c r="J25" s="32" t="n"/>
      <c r="K25" s="32" t="n"/>
      <c r="L25" s="32" t="n"/>
      <c r="M25" s="32" t="n"/>
      <c r="N25" s="32" t="n"/>
      <c r="O25" s="32" t="n"/>
    </row>
    <row r="26">
      <c r="A26" s="32" t="n"/>
      <c r="B26" s="32" t="n"/>
      <c r="C26" s="32" t="n"/>
      <c r="D26" s="32" t="n"/>
      <c r="E26" s="32" t="n"/>
      <c r="F26" s="32" t="n"/>
      <c r="G26" s="32" t="n"/>
      <c r="H26" s="32" t="n"/>
      <c r="I26" s="32" t="n"/>
      <c r="J26" s="32" t="n"/>
      <c r="K26" s="32" t="n"/>
      <c r="L26" s="32" t="n"/>
      <c r="M26" s="32" t="n"/>
      <c r="N26" s="32" t="n"/>
      <c r="O26" s="32" t="n"/>
    </row>
    <row r="27">
      <c r="A27" s="32" t="n"/>
      <c r="B27" s="32" t="n"/>
      <c r="C27" s="32" t="n"/>
      <c r="D27" s="32" t="n"/>
      <c r="E27" s="32" t="n"/>
      <c r="F27" s="32" t="n"/>
      <c r="G27" s="32" t="n"/>
      <c r="H27" s="32" t="n"/>
      <c r="I27" s="32" t="n"/>
      <c r="J27" s="32" t="n"/>
      <c r="K27" s="32" t="n"/>
      <c r="L27" s="32" t="n"/>
      <c r="M27" s="32" t="n"/>
      <c r="N27" s="32" t="n"/>
      <c r="O27" s="32" t="n"/>
    </row>
    <row r="28">
      <c r="A28" s="32" t="n"/>
      <c r="B28" s="32" t="n"/>
      <c r="C28" s="32" t="n"/>
      <c r="D28" s="32" t="n"/>
      <c r="E28" s="32" t="n"/>
      <c r="F28" s="32" t="n"/>
      <c r="G28" s="32" t="n"/>
      <c r="H28" s="32" t="n"/>
      <c r="I28" s="32" t="n"/>
      <c r="J28" s="32" t="n"/>
      <c r="K28" s="32" t="n"/>
      <c r="L28" s="32" t="n"/>
      <c r="M28" s="32" t="n"/>
      <c r="N28" s="32" t="n"/>
      <c r="O28" s="32" t="n"/>
    </row>
    <row r="29">
      <c r="A29" s="32" t="n"/>
      <c r="B29" s="32" t="n"/>
      <c r="C29" s="32" t="n"/>
      <c r="D29" s="32" t="n"/>
      <c r="E29" s="32" t="n"/>
      <c r="F29" s="32" t="n"/>
      <c r="G29" s="32" t="n"/>
      <c r="H29" s="32" t="n"/>
      <c r="I29" s="32" t="n"/>
      <c r="J29" s="32" t="n"/>
      <c r="K29" s="32" t="n"/>
      <c r="L29" s="32" t="n"/>
      <c r="M29" s="32" t="n"/>
      <c r="N29" s="32" t="n"/>
      <c r="O29" s="32" t="n"/>
    </row>
    <row r="30">
      <c r="A30" s="32" t="n"/>
      <c r="B30" s="32" t="n"/>
      <c r="C30" s="32" t="n"/>
      <c r="D30" s="32" t="n"/>
      <c r="E30" s="32" t="n"/>
      <c r="F30" s="32" t="n"/>
      <c r="G30" s="32" t="n"/>
      <c r="H30" s="32" t="n"/>
      <c r="I30" s="32" t="n"/>
      <c r="J30" s="32" t="n"/>
      <c r="K30" s="32" t="n"/>
      <c r="L30" s="32" t="n"/>
      <c r="M30" s="32" t="n"/>
      <c r="N30" s="32" t="n"/>
      <c r="O30" s="32" t="n"/>
    </row>
    <row r="31">
      <c r="A31" s="32" t="n"/>
      <c r="B31" s="32" t="n"/>
      <c r="C31" s="32" t="n"/>
      <c r="D31" s="32" t="n"/>
      <c r="E31" s="32" t="n"/>
      <c r="F31" s="32" t="n"/>
      <c r="G31" s="32" t="n"/>
      <c r="H31" s="32" t="n"/>
      <c r="I31" s="32" t="n"/>
      <c r="J31" s="32" t="n"/>
      <c r="K31" s="32" t="n"/>
      <c r="L31" s="32" t="n"/>
      <c r="M31" s="32" t="n"/>
      <c r="N31" s="32" t="n"/>
      <c r="O31" s="32" t="n"/>
    </row>
    <row r="32">
      <c r="A32" s="32" t="n"/>
      <c r="B32" s="32" t="n"/>
      <c r="C32" s="32" t="n"/>
      <c r="D32" s="32" t="n"/>
      <c r="E32" s="32" t="n"/>
      <c r="F32" s="32" t="n"/>
      <c r="G32" s="32" t="n"/>
      <c r="H32" s="32" t="n"/>
      <c r="I32" s="32" t="n"/>
      <c r="J32" s="32" t="n"/>
      <c r="K32" s="32" t="n"/>
      <c r="L32" s="32" t="n"/>
      <c r="M32" s="32" t="n"/>
      <c r="N32" s="32" t="n"/>
      <c r="O32" s="32" t="n"/>
    </row>
    <row r="33">
      <c r="A33" s="32" t="n"/>
      <c r="B33" s="32" t="n"/>
      <c r="C33" s="32" t="n"/>
      <c r="D33" s="32" t="n"/>
      <c r="E33" s="32" t="n"/>
      <c r="F33" s="32" t="n"/>
      <c r="G33" s="32" t="n"/>
      <c r="H33" s="32" t="n"/>
      <c r="I33" s="32" t="n"/>
      <c r="J33" s="32" t="n"/>
      <c r="K33" s="32" t="n"/>
      <c r="L33" s="32" t="n"/>
      <c r="M33" s="32" t="n"/>
      <c r="N33" s="32" t="n"/>
      <c r="O33" s="32" t="n"/>
    </row>
    <row r="34">
      <c r="A34" s="32" t="n"/>
      <c r="B34" s="32" t="n"/>
      <c r="C34" s="32" t="n"/>
      <c r="D34" s="32" t="n"/>
      <c r="E34" s="32" t="n"/>
      <c r="F34" s="32" t="n"/>
      <c r="G34" s="32" t="n"/>
      <c r="H34" s="32" t="n"/>
      <c r="I34" s="32" t="n"/>
      <c r="J34" s="32" t="n"/>
      <c r="K34" s="32" t="n"/>
      <c r="L34" s="32" t="n"/>
      <c r="M34" s="32" t="n"/>
      <c r="N34" s="32" t="n"/>
      <c r="O34" s="32" t="n"/>
    </row>
    <row r="35">
      <c r="A35" s="32" t="n"/>
      <c r="B35" s="32" t="n"/>
      <c r="C35" s="32" t="n"/>
      <c r="D35" s="32" t="n"/>
      <c r="E35" s="32" t="n"/>
      <c r="F35" s="32" t="n"/>
      <c r="G35" s="32" t="n"/>
      <c r="H35" s="32" t="n"/>
      <c r="I35" s="32" t="n"/>
      <c r="J35" s="32" t="n"/>
      <c r="K35" s="32" t="n"/>
      <c r="L35" s="32" t="n"/>
      <c r="M35" s="32" t="n"/>
      <c r="N35" s="32" t="n"/>
      <c r="O35" s="32" t="n"/>
    </row>
    <row r="36">
      <c r="A36" s="32" t="n"/>
      <c r="B36" s="32" t="n"/>
      <c r="C36" s="32" t="n"/>
      <c r="D36" s="32" t="n"/>
      <c r="E36" s="32" t="n"/>
      <c r="F36" s="32" t="n"/>
      <c r="G36" s="32" t="n"/>
      <c r="H36" s="32" t="n"/>
      <c r="I36" s="32" t="n"/>
      <c r="J36" s="32" t="n"/>
      <c r="K36" s="32" t="n"/>
      <c r="L36" s="32" t="n"/>
      <c r="M36" s="32" t="n"/>
      <c r="N36" s="32" t="n"/>
      <c r="O36" s="32" t="n"/>
    </row>
    <row r="37">
      <c r="A37" s="32" t="n"/>
      <c r="B37" s="32" t="n"/>
      <c r="C37" s="32" t="n"/>
      <c r="D37" s="32" t="n"/>
      <c r="E37" s="32" t="n"/>
      <c r="F37" s="32" t="n"/>
      <c r="G37" s="32" t="n"/>
      <c r="H37" s="32" t="n"/>
      <c r="I37" s="32" t="n"/>
      <c r="J37" s="32" t="n"/>
      <c r="K37" s="32" t="n"/>
      <c r="L37" s="32" t="n"/>
      <c r="M37" s="32" t="n"/>
      <c r="N37" s="32" t="n"/>
      <c r="O37" s="32" t="n"/>
    </row>
    <row r="38">
      <c r="A38" s="32" t="n"/>
      <c r="B38" s="32" t="n"/>
      <c r="C38" s="32" t="n"/>
      <c r="D38" s="32" t="n"/>
      <c r="E38" s="32" t="n"/>
      <c r="F38" s="32" t="n"/>
      <c r="G38" s="32" t="n"/>
      <c r="H38" s="32" t="n"/>
      <c r="I38" s="32" t="n"/>
      <c r="J38" s="32" t="n"/>
      <c r="K38" s="32" t="n"/>
      <c r="L38" s="32" t="n"/>
      <c r="M38" s="32" t="n"/>
      <c r="N38" s="32" t="n"/>
      <c r="O38" s="32" t="n"/>
    </row>
    <row r="39">
      <c r="A39" s="32" t="n"/>
      <c r="B39" s="32" t="n"/>
      <c r="C39" s="32" t="n"/>
      <c r="D39" s="32" t="n"/>
      <c r="E39" s="32" t="n"/>
      <c r="F39" s="32" t="n"/>
      <c r="G39" s="32" t="n"/>
      <c r="H39" s="32" t="n"/>
      <c r="I39" s="32" t="n"/>
      <c r="J39" s="32" t="n"/>
      <c r="K39" s="32" t="n"/>
      <c r="L39" s="32" t="n"/>
      <c r="M39" s="32" t="n"/>
      <c r="N39" s="32" t="n"/>
      <c r="O39" s="32" t="n"/>
    </row>
    <row r="40">
      <c r="A40" s="32" t="n"/>
      <c r="B40" s="32" t="n"/>
      <c r="C40" s="32" t="n"/>
      <c r="D40" s="32" t="n"/>
      <c r="E40" s="32" t="n"/>
      <c r="F40" s="32" t="n"/>
      <c r="G40" s="32" t="n"/>
      <c r="H40" s="32" t="n"/>
      <c r="I40" s="32" t="n"/>
      <c r="J40" s="32" t="n"/>
      <c r="K40" s="32" t="n"/>
      <c r="L40" s="32" t="n"/>
      <c r="M40" s="32" t="n"/>
      <c r="N40" s="32" t="n"/>
      <c r="O40" s="32" t="n"/>
    </row>
    <row r="41">
      <c r="A41" s="32" t="n"/>
      <c r="B41" s="32" t="n"/>
      <c r="C41" s="32" t="n"/>
      <c r="D41" s="32" t="n"/>
      <c r="E41" s="32" t="n"/>
      <c r="F41" s="32" t="n"/>
      <c r="G41" s="32" t="n"/>
      <c r="H41" s="32" t="n"/>
      <c r="I41" s="32" t="n"/>
      <c r="J41" s="32" t="n"/>
      <c r="K41" s="32" t="n"/>
      <c r="L41" s="32" t="n"/>
      <c r="M41" s="32" t="n"/>
      <c r="N41" s="32" t="n"/>
      <c r="O41" s="32" t="n"/>
    </row>
    <row r="42">
      <c r="A42" s="32" t="n"/>
      <c r="B42" s="32" t="n"/>
      <c r="C42" s="32" t="n"/>
      <c r="D42" s="32" t="n"/>
      <c r="E42" s="32" t="n"/>
      <c r="F42" s="32" t="n"/>
      <c r="G42" s="32" t="n"/>
      <c r="H42" s="32" t="n"/>
      <c r="I42" s="32" t="n"/>
      <c r="J42" s="32" t="n"/>
      <c r="K42" s="32" t="n"/>
      <c r="L42" s="32" t="n"/>
      <c r="M42" s="32" t="n"/>
      <c r="N42" s="32" t="n"/>
      <c r="O42" s="32" t="n"/>
    </row>
    <row r="43">
      <c r="A43" s="32" t="n"/>
      <c r="B43" s="32" t="n"/>
      <c r="C43" s="32" t="n"/>
      <c r="D43" s="32" t="n"/>
      <c r="E43" s="32" t="n"/>
      <c r="F43" s="32" t="n"/>
      <c r="G43" s="32" t="n"/>
      <c r="H43" s="32" t="n"/>
      <c r="I43" s="32" t="n"/>
      <c r="J43" s="32" t="n"/>
      <c r="K43" s="32" t="n"/>
      <c r="L43" s="32" t="n"/>
      <c r="M43" s="32" t="n"/>
      <c r="N43" s="32" t="n"/>
      <c r="O43" s="32" t="n"/>
    </row>
    <row r="44">
      <c r="A44" s="32" t="n"/>
      <c r="B44" s="32" t="n"/>
      <c r="C44" s="32" t="n"/>
      <c r="D44" s="32" t="n"/>
      <c r="E44" s="32" t="n"/>
      <c r="F44" s="32" t="n"/>
      <c r="G44" s="32" t="n"/>
      <c r="H44" s="32" t="n"/>
      <c r="I44" s="32" t="n"/>
      <c r="J44" s="32" t="n"/>
      <c r="K44" s="32" t="n"/>
      <c r="L44" s="32" t="n"/>
      <c r="M44" s="32" t="n"/>
      <c r="N44" s="32" t="n"/>
      <c r="O44" s="32" t="n"/>
    </row>
    <row r="45">
      <c r="A45" s="32" t="n"/>
      <c r="B45" s="32" t="n"/>
      <c r="C45" s="32" t="n"/>
      <c r="D45" s="32" t="n"/>
      <c r="E45" s="32" t="n"/>
      <c r="F45" s="32" t="n"/>
      <c r="G45" s="32" t="n"/>
      <c r="H45" s="32" t="n"/>
      <c r="I45" s="32" t="n"/>
      <c r="J45" s="32" t="n"/>
      <c r="K45" s="32" t="n"/>
      <c r="L45" s="32" t="n"/>
      <c r="M45" s="32" t="n"/>
      <c r="N45" s="32" t="n"/>
      <c r="O45" s="32" t="n"/>
    </row>
    <row r="46">
      <c r="A46" s="32" t="n"/>
      <c r="B46" s="32" t="n"/>
      <c r="C46" s="32" t="n"/>
      <c r="D46" s="32" t="n"/>
      <c r="E46" s="32" t="n"/>
      <c r="F46" s="32" t="n"/>
      <c r="G46" s="32" t="n"/>
      <c r="H46" s="32" t="n"/>
      <c r="I46" s="32" t="n"/>
      <c r="J46" s="32" t="n"/>
      <c r="K46" s="32" t="n"/>
      <c r="L46" s="32" t="n"/>
      <c r="M46" s="32" t="n"/>
      <c r="N46" s="32" t="n"/>
      <c r="O46" s="32" t="n"/>
    </row>
    <row r="47">
      <c r="A47" s="32" t="n"/>
      <c r="B47" s="32" t="n"/>
      <c r="C47" s="32" t="n"/>
      <c r="D47" s="32" t="n"/>
      <c r="E47" s="32" t="n"/>
      <c r="F47" s="32" t="n"/>
      <c r="G47" s="32" t="n"/>
      <c r="H47" s="32" t="n"/>
      <c r="I47" s="32" t="n"/>
      <c r="J47" s="32" t="n"/>
      <c r="K47" s="32" t="n"/>
      <c r="L47" s="32" t="n"/>
      <c r="M47" s="32" t="n"/>
      <c r="N47" s="32" t="n"/>
      <c r="O47" s="32" t="n"/>
    </row>
    <row r="48">
      <c r="A48" s="32" t="n"/>
      <c r="B48" s="32" t="n"/>
      <c r="C48" s="32" t="n"/>
      <c r="D48" s="32" t="n"/>
      <c r="E48" s="32" t="n"/>
      <c r="F48" s="32" t="n"/>
      <c r="G48" s="32" t="n"/>
      <c r="H48" s="32" t="n"/>
      <c r="I48" s="32" t="n"/>
      <c r="J48" s="32" t="n"/>
      <c r="K48" s="32" t="n"/>
      <c r="L48" s="32" t="n"/>
      <c r="M48" s="32" t="n"/>
      <c r="N48" s="32" t="n"/>
      <c r="O48" s="32" t="n"/>
    </row>
    <row r="49">
      <c r="A49" s="32" t="n"/>
      <c r="B49" s="32" t="n"/>
      <c r="C49" s="32" t="n"/>
      <c r="D49" s="32" t="n"/>
      <c r="E49" s="32" t="n"/>
      <c r="F49" s="32" t="n"/>
      <c r="G49" s="32" t="n"/>
      <c r="H49" s="32" t="n"/>
      <c r="I49" s="32" t="n"/>
      <c r="J49" s="32" t="n"/>
      <c r="K49" s="32" t="n"/>
      <c r="L49" s="32" t="n"/>
      <c r="M49" s="32" t="n"/>
      <c r="N49" s="32" t="n"/>
      <c r="O49" s="32" t="n"/>
    </row>
    <row r="50">
      <c r="A50" s="32" t="n"/>
      <c r="B50" s="32" t="n"/>
      <c r="C50" s="32" t="n"/>
      <c r="D50" s="32" t="n"/>
      <c r="E50" s="32" t="n"/>
      <c r="F50" s="32" t="n"/>
      <c r="G50" s="32" t="n"/>
      <c r="H50" s="32" t="n"/>
      <c r="I50" s="32" t="n"/>
      <c r="J50" s="32" t="n"/>
      <c r="K50" s="32" t="n"/>
      <c r="L50" s="32" t="n"/>
      <c r="M50" s="32" t="n"/>
      <c r="N50" s="32" t="n"/>
      <c r="O50" s="32" t="n"/>
    </row>
    <row r="51">
      <c r="A51" s="32" t="n"/>
      <c r="B51" s="32" t="n"/>
      <c r="C51" s="32" t="n"/>
      <c r="D51" s="32" t="n"/>
      <c r="E51" s="32" t="n"/>
      <c r="F51" s="32" t="n"/>
      <c r="G51" s="32" t="n"/>
      <c r="H51" s="32" t="n"/>
      <c r="I51" s="32" t="n"/>
      <c r="J51" s="32" t="n"/>
      <c r="K51" s="32" t="n"/>
      <c r="L51" s="32" t="n"/>
      <c r="M51" s="32" t="n"/>
      <c r="N51" s="32" t="n"/>
      <c r="O51" s="32" t="n"/>
    </row>
    <row r="52">
      <c r="A52" s="32" t="n"/>
      <c r="B52" s="32" t="n"/>
      <c r="C52" s="32" t="n"/>
      <c r="D52" s="32" t="n"/>
      <c r="E52" s="32" t="n"/>
      <c r="F52" s="32" t="n"/>
      <c r="G52" s="32" t="n"/>
      <c r="H52" s="32" t="n"/>
      <c r="I52" s="32" t="n"/>
      <c r="J52" s="32" t="n"/>
      <c r="K52" s="32" t="n"/>
      <c r="L52" s="32" t="n"/>
      <c r="M52" s="32" t="n"/>
      <c r="N52" s="32" t="n"/>
      <c r="O52" s="32" t="n"/>
    </row>
    <row r="53">
      <c r="A53" s="32" t="n"/>
      <c r="B53" s="32" t="n"/>
      <c r="C53" s="32" t="n"/>
      <c r="D53" s="32" t="n"/>
      <c r="E53" s="32" t="n"/>
      <c r="F53" s="32" t="n"/>
      <c r="G53" s="32" t="n"/>
      <c r="H53" s="32" t="n"/>
      <c r="I53" s="32" t="n"/>
      <c r="J53" s="32" t="n"/>
      <c r="K53" s="32" t="n"/>
      <c r="L53" s="32" t="n"/>
      <c r="M53" s="32" t="n"/>
      <c r="N53" s="32" t="n"/>
      <c r="O53" s="32" t="n"/>
    </row>
    <row r="54">
      <c r="A54" s="32" t="n"/>
      <c r="B54" s="32" t="n"/>
      <c r="C54" s="32" t="n"/>
      <c r="D54" s="32" t="n"/>
      <c r="E54" s="32" t="n"/>
      <c r="F54" s="32" t="n"/>
      <c r="G54" s="32" t="n"/>
      <c r="H54" s="32" t="n"/>
      <c r="I54" s="32" t="n"/>
      <c r="J54" s="32" t="n"/>
      <c r="K54" s="32" t="n"/>
      <c r="L54" s="32" t="n"/>
      <c r="M54" s="32" t="n"/>
      <c r="N54" s="32" t="n"/>
      <c r="O54" s="32" t="n"/>
    </row>
    <row r="55">
      <c r="A55" s="32" t="n"/>
      <c r="B55" s="32" t="n"/>
      <c r="C55" s="32" t="n"/>
      <c r="D55" s="32" t="n"/>
      <c r="E55" s="32" t="n"/>
      <c r="F55" s="32" t="n"/>
      <c r="G55" s="32" t="n"/>
      <c r="H55" s="32" t="n"/>
      <c r="I55" s="32" t="n"/>
      <c r="J55" s="32" t="n"/>
      <c r="K55" s="32" t="n"/>
      <c r="L55" s="32" t="n"/>
      <c r="M55" s="32" t="n"/>
      <c r="N55" s="32" t="n"/>
      <c r="O55" s="32" t="n"/>
    </row>
    <row r="56">
      <c r="A56" s="32" t="n"/>
      <c r="B56" s="32" t="n"/>
      <c r="C56" s="32" t="n"/>
      <c r="D56" s="32" t="n"/>
      <c r="E56" s="32" t="n"/>
      <c r="F56" s="32" t="n"/>
      <c r="G56" s="32" t="n"/>
      <c r="H56" s="32" t="n"/>
      <c r="I56" s="32" t="n"/>
      <c r="J56" s="32" t="n"/>
      <c r="K56" s="32" t="n"/>
      <c r="L56" s="32" t="n"/>
      <c r="M56" s="32" t="n"/>
      <c r="N56" s="32" t="n"/>
      <c r="O56" s="32" t="n"/>
    </row>
    <row r="57">
      <c r="A57" s="32" t="n"/>
      <c r="B57" s="32" t="n"/>
      <c r="C57" s="32" t="n"/>
      <c r="D57" s="32" t="n"/>
      <c r="E57" s="32" t="n"/>
      <c r="F57" s="32" t="n"/>
      <c r="G57" s="32" t="n"/>
      <c r="H57" s="32" t="n"/>
      <c r="I57" s="32" t="n"/>
      <c r="J57" s="32" t="n"/>
      <c r="K57" s="32" t="n"/>
      <c r="L57" s="32" t="n"/>
      <c r="M57" s="32" t="n"/>
      <c r="N57" s="32" t="n"/>
      <c r="O57" s="32" t="n"/>
    </row>
    <row r="58">
      <c r="A58" s="32" t="n"/>
      <c r="B58" s="32" t="n"/>
      <c r="C58" s="32" t="n"/>
      <c r="D58" s="32" t="n"/>
      <c r="E58" s="32" t="n"/>
      <c r="F58" s="32" t="n"/>
      <c r="G58" s="32" t="n"/>
      <c r="H58" s="32" t="n"/>
      <c r="I58" s="32" t="n"/>
      <c r="J58" s="32" t="n"/>
      <c r="K58" s="32" t="n"/>
      <c r="L58" s="32" t="n"/>
      <c r="M58" s="32" t="n"/>
      <c r="N58" s="32" t="n"/>
      <c r="O58" s="32" t="n"/>
    </row>
    <row r="59">
      <c r="A59" s="32" t="n"/>
      <c r="B59" s="32" t="n"/>
      <c r="C59" s="32" t="n"/>
      <c r="D59" s="32" t="n"/>
      <c r="E59" s="32" t="n"/>
      <c r="F59" s="32" t="n"/>
      <c r="G59" s="32" t="n"/>
      <c r="H59" s="32" t="n"/>
      <c r="I59" s="32" t="n"/>
      <c r="J59" s="32" t="n"/>
      <c r="K59" s="32" t="n"/>
      <c r="L59" s="32" t="n"/>
      <c r="M59" s="32" t="n"/>
      <c r="N59" s="32" t="n"/>
      <c r="O59" s="32" t="n"/>
    </row>
    <row r="60">
      <c r="A60" s="32" t="n"/>
      <c r="B60" s="32" t="n"/>
      <c r="C60" s="32" t="n"/>
      <c r="D60" s="32" t="n"/>
      <c r="E60" s="32" t="n"/>
      <c r="F60" s="32" t="n"/>
      <c r="G60" s="32" t="n"/>
      <c r="H60" s="32" t="n"/>
      <c r="I60" s="32" t="n"/>
      <c r="J60" s="32" t="n"/>
      <c r="K60" s="32" t="n"/>
      <c r="L60" s="32" t="n"/>
      <c r="M60" s="32" t="n"/>
      <c r="N60" s="32" t="n"/>
      <c r="O60" s="32" t="n"/>
    </row>
    <row r="61">
      <c r="A61" s="32" t="n"/>
      <c r="B61" s="32" t="n"/>
      <c r="C61" s="32" t="n"/>
      <c r="D61" s="32" t="n"/>
      <c r="E61" s="32" t="n"/>
      <c r="F61" s="32" t="n"/>
      <c r="G61" s="32" t="n"/>
      <c r="H61" s="32" t="n"/>
      <c r="I61" s="32" t="n"/>
      <c r="J61" s="32" t="n"/>
      <c r="K61" s="32" t="n"/>
      <c r="L61" s="32" t="n"/>
      <c r="M61" s="32" t="n"/>
      <c r="N61" s="32" t="n"/>
      <c r="O61" s="32" t="n"/>
    </row>
    <row r="62">
      <c r="A62" s="32" t="n"/>
      <c r="B62" s="32" t="n"/>
      <c r="C62" s="32" t="n"/>
      <c r="D62" s="32" t="n"/>
      <c r="E62" s="32" t="n"/>
      <c r="F62" s="32" t="n"/>
      <c r="G62" s="32" t="n"/>
      <c r="H62" s="32" t="n"/>
      <c r="I62" s="32" t="n"/>
      <c r="J62" s="32" t="n"/>
      <c r="K62" s="32" t="n"/>
      <c r="L62" s="32" t="n"/>
      <c r="M62" s="32" t="n"/>
      <c r="N62" s="32" t="n"/>
      <c r="O62" s="32" t="n"/>
    </row>
    <row r="63">
      <c r="A63" s="32" t="n"/>
      <c r="B63" s="32" t="n"/>
      <c r="C63" s="32" t="n"/>
      <c r="D63" s="32" t="n"/>
      <c r="E63" s="32" t="n"/>
      <c r="F63" s="32" t="n"/>
      <c r="G63" s="32" t="n"/>
      <c r="H63" s="32" t="n"/>
      <c r="I63" s="32" t="n"/>
      <c r="J63" s="32" t="n"/>
      <c r="K63" s="32" t="n"/>
      <c r="L63" s="32" t="n"/>
      <c r="M63" s="32" t="n"/>
      <c r="N63" s="32" t="n"/>
      <c r="O63" s="32" t="n"/>
    </row>
    <row r="64">
      <c r="A64" s="32" t="n"/>
      <c r="B64" s="32" t="n"/>
      <c r="C64" s="32" t="n"/>
      <c r="D64" s="32" t="n"/>
      <c r="E64" s="32" t="n"/>
      <c r="F64" s="32" t="n"/>
      <c r="G64" s="32" t="n"/>
      <c r="H64" s="32" t="n"/>
      <c r="I64" s="32" t="n"/>
      <c r="J64" s="32" t="n"/>
      <c r="K64" s="32" t="n"/>
      <c r="L64" s="32" t="n"/>
      <c r="M64" s="32" t="n"/>
      <c r="N64" s="32" t="n"/>
      <c r="O64" s="32" t="n"/>
    </row>
    <row r="65">
      <c r="A65" s="32" t="n"/>
      <c r="B65" s="32" t="n"/>
      <c r="C65" s="32" t="n"/>
      <c r="D65" s="32" t="n"/>
      <c r="E65" s="32" t="n"/>
      <c r="F65" s="32" t="n"/>
      <c r="G65" s="32" t="n"/>
      <c r="H65" s="32" t="n"/>
      <c r="I65" s="32" t="n"/>
      <c r="J65" s="32" t="n"/>
      <c r="K65" s="32" t="n"/>
      <c r="L65" s="32" t="n"/>
      <c r="M65" s="32" t="n"/>
      <c r="N65" s="32" t="n"/>
      <c r="O65" s="32" t="n"/>
    </row>
    <row r="66">
      <c r="A66" s="32" t="n"/>
      <c r="B66" s="32" t="n"/>
      <c r="C66" s="32" t="n"/>
      <c r="D66" s="32" t="n"/>
      <c r="E66" s="32" t="n"/>
      <c r="F66" s="32" t="n"/>
      <c r="G66" s="32" t="n"/>
      <c r="H66" s="32" t="n"/>
      <c r="I66" s="32" t="n"/>
      <c r="J66" s="32" t="n"/>
      <c r="K66" s="32" t="n"/>
      <c r="L66" s="32" t="n"/>
      <c r="M66" s="32" t="n"/>
      <c r="N66" s="32" t="n"/>
      <c r="O66" s="32" t="n"/>
    </row>
    <row r="67">
      <c r="A67" s="32" t="n"/>
      <c r="B67" s="32" t="n"/>
      <c r="C67" s="32" t="n"/>
      <c r="D67" s="32" t="n"/>
      <c r="E67" s="32" t="n"/>
      <c r="F67" s="32" t="n"/>
      <c r="G67" s="32" t="n"/>
      <c r="H67" s="32" t="n"/>
      <c r="I67" s="32" t="n"/>
      <c r="J67" s="32" t="n"/>
      <c r="K67" s="32" t="n"/>
      <c r="L67" s="32" t="n"/>
      <c r="M67" s="32" t="n"/>
      <c r="N67" s="32" t="n"/>
      <c r="O67" s="32" t="n"/>
    </row>
    <row r="68">
      <c r="A68" s="32" t="n"/>
      <c r="B68" s="32" t="n"/>
      <c r="C68" s="32" t="n"/>
      <c r="D68" s="32" t="n"/>
      <c r="E68" s="32" t="n"/>
      <c r="F68" s="32" t="n"/>
      <c r="G68" s="32" t="n"/>
      <c r="H68" s="32" t="n"/>
      <c r="I68" s="32" t="n"/>
      <c r="J68" s="32" t="n"/>
      <c r="K68" s="32" t="n"/>
      <c r="L68" s="32" t="n"/>
      <c r="M68" s="32" t="n"/>
      <c r="N68" s="32" t="n"/>
      <c r="O68" s="32" t="n"/>
    </row>
    <row r="69">
      <c r="A69" s="32" t="n"/>
      <c r="B69" s="32" t="n"/>
      <c r="C69" s="32" t="n"/>
      <c r="D69" s="32" t="n"/>
      <c r="E69" s="32" t="n"/>
      <c r="F69" s="32" t="n"/>
      <c r="G69" s="32" t="n"/>
      <c r="H69" s="32" t="n"/>
      <c r="I69" s="32" t="n"/>
      <c r="J69" s="32" t="n"/>
      <c r="K69" s="32" t="n"/>
      <c r="L69" s="32" t="n"/>
      <c r="M69" s="32" t="n"/>
      <c r="N69" s="32" t="n"/>
      <c r="O69" s="32" t="n"/>
    </row>
    <row r="70">
      <c r="A70" s="32" t="n"/>
      <c r="B70" s="32" t="n"/>
      <c r="C70" s="32" t="n"/>
      <c r="D70" s="32" t="n"/>
      <c r="E70" s="32" t="n"/>
      <c r="F70" s="32" t="n"/>
      <c r="G70" s="32" t="n"/>
      <c r="H70" s="32" t="n"/>
      <c r="I70" s="32" t="n"/>
      <c r="J70" s="32" t="n"/>
      <c r="K70" s="32" t="n"/>
      <c r="L70" s="32" t="n"/>
      <c r="M70" s="32" t="n"/>
      <c r="N70" s="32" t="n"/>
      <c r="O70" s="32" t="n"/>
    </row>
    <row r="71">
      <c r="A71" s="32" t="n"/>
      <c r="B71" s="32" t="n"/>
      <c r="C71" s="32" t="n"/>
      <c r="D71" s="32" t="n"/>
      <c r="E71" s="32" t="n"/>
      <c r="F71" s="32" t="n"/>
      <c r="G71" s="32" t="n"/>
      <c r="H71" s="32" t="n"/>
      <c r="I71" s="32" t="n"/>
      <c r="J71" s="32" t="n"/>
      <c r="K71" s="32" t="n"/>
      <c r="L71" s="32" t="n"/>
      <c r="M71" s="32" t="n"/>
      <c r="N71" s="32" t="n"/>
      <c r="O71" s="32" t="n"/>
    </row>
    <row r="72">
      <c r="A72" s="32" t="n"/>
      <c r="B72" s="32" t="n"/>
      <c r="C72" s="32" t="n"/>
      <c r="D72" s="32" t="n"/>
      <c r="E72" s="32" t="n"/>
      <c r="F72" s="32" t="n"/>
      <c r="G72" s="32" t="n"/>
      <c r="H72" s="32" t="n"/>
      <c r="I72" s="32" t="n"/>
      <c r="J72" s="32" t="n"/>
      <c r="K72" s="32" t="n"/>
      <c r="L72" s="32" t="n"/>
      <c r="M72" s="32" t="n"/>
      <c r="N72" s="32" t="n"/>
      <c r="O72" s="32" t="n"/>
    </row>
    <row r="73">
      <c r="A73" s="32" t="n"/>
      <c r="B73" s="32" t="n"/>
      <c r="C73" s="32" t="n"/>
      <c r="D73" s="32" t="n"/>
      <c r="E73" s="32" t="n"/>
      <c r="F73" s="32" t="n"/>
      <c r="G73" s="32" t="n"/>
      <c r="H73" s="32" t="n"/>
      <c r="I73" s="32" t="n"/>
      <c r="J73" s="32" t="n"/>
      <c r="K73" s="32" t="n"/>
      <c r="L73" s="32" t="n"/>
      <c r="M73" s="32" t="n"/>
      <c r="N73" s="32" t="n"/>
      <c r="O73" s="32" t="n"/>
    </row>
    <row r="74">
      <c r="A74" s="32" t="n"/>
      <c r="B74" s="32" t="n"/>
      <c r="C74" s="32" t="n"/>
      <c r="D74" s="32" t="n"/>
      <c r="E74" s="32" t="n"/>
      <c r="F74" s="32" t="n"/>
      <c r="G74" s="32" t="n"/>
      <c r="H74" s="32" t="n"/>
      <c r="I74" s="32" t="n"/>
      <c r="J74" s="32" t="n"/>
      <c r="K74" s="32" t="n"/>
      <c r="L74" s="32" t="n"/>
      <c r="M74" s="32" t="n"/>
      <c r="N74" s="32" t="n"/>
      <c r="O74" s="32" t="n"/>
    </row>
    <row r="75">
      <c r="A75" s="32" t="n"/>
      <c r="B75" s="32" t="n"/>
      <c r="C75" s="32" t="n"/>
      <c r="D75" s="32" t="n"/>
      <c r="E75" s="32" t="n"/>
      <c r="F75" s="32" t="n"/>
      <c r="G75" s="32" t="n"/>
      <c r="H75" s="32" t="n"/>
      <c r="I75" s="32" t="n"/>
      <c r="J75" s="32" t="n"/>
      <c r="K75" s="32" t="n"/>
      <c r="L75" s="32" t="n"/>
      <c r="M75" s="32" t="n"/>
      <c r="N75" s="32" t="n"/>
      <c r="O75" s="32" t="n"/>
    </row>
    <row r="76">
      <c r="A76" s="32" t="n"/>
      <c r="B76" s="32" t="n"/>
      <c r="C76" s="32" t="n"/>
      <c r="D76" s="32" t="n"/>
      <c r="E76" s="32" t="n"/>
      <c r="F76" s="32" t="n"/>
      <c r="G76" s="32" t="n"/>
      <c r="H76" s="32" t="n"/>
      <c r="I76" s="32" t="n"/>
      <c r="J76" s="32" t="n"/>
      <c r="K76" s="32" t="n"/>
      <c r="L76" s="32" t="n"/>
      <c r="M76" s="32" t="n"/>
      <c r="N76" s="32" t="n"/>
      <c r="O76" s="32" t="n"/>
    </row>
    <row r="77">
      <c r="A77" s="32" t="n"/>
      <c r="B77" s="32" t="n"/>
      <c r="C77" s="32" t="n"/>
      <c r="D77" s="32" t="n"/>
      <c r="E77" s="32" t="n"/>
      <c r="F77" s="32" t="n"/>
      <c r="G77" s="32" t="n"/>
      <c r="H77" s="32" t="n"/>
      <c r="I77" s="32" t="n"/>
      <c r="J77" s="32" t="n"/>
      <c r="K77" s="32" t="n"/>
      <c r="L77" s="32" t="n"/>
      <c r="M77" s="32" t="n"/>
      <c r="N77" s="32" t="n"/>
      <c r="O77" s="32" t="n"/>
    </row>
    <row r="78">
      <c r="A78" s="32" t="n"/>
      <c r="B78" s="32" t="n"/>
      <c r="C78" s="32" t="n"/>
      <c r="D78" s="32" t="n"/>
      <c r="E78" s="32" t="n"/>
      <c r="F78" s="32" t="n"/>
      <c r="G78" s="32" t="n"/>
      <c r="H78" s="32" t="n"/>
      <c r="I78" s="32" t="n"/>
      <c r="J78" s="32" t="n"/>
      <c r="K78" s="32" t="n"/>
      <c r="L78" s="32" t="n"/>
      <c r="M78" s="32" t="n"/>
      <c r="N78" s="32" t="n"/>
      <c r="O78" s="32" t="n"/>
    </row>
    <row r="79">
      <c r="A79" s="32" t="n"/>
      <c r="B79" s="32" t="n"/>
      <c r="C79" s="32" t="n"/>
      <c r="D79" s="32" t="n"/>
      <c r="E79" s="32" t="n"/>
      <c r="F79" s="32" t="n"/>
      <c r="G79" s="32" t="n"/>
      <c r="H79" s="32" t="n"/>
      <c r="I79" s="32" t="n"/>
      <c r="J79" s="32" t="n"/>
      <c r="K79" s="32" t="n"/>
      <c r="L79" s="32" t="n"/>
      <c r="M79" s="32" t="n"/>
      <c r="N79" s="32" t="n"/>
      <c r="O79" s="32" t="n"/>
    </row>
    <row r="80">
      <c r="A80" s="32" t="n"/>
      <c r="B80" s="32" t="n"/>
      <c r="C80" s="32" t="n"/>
      <c r="D80" s="32" t="n"/>
      <c r="E80" s="32" t="n"/>
      <c r="F80" s="32" t="n"/>
      <c r="G80" s="32" t="n"/>
      <c r="H80" s="32" t="n"/>
      <c r="I80" s="32" t="n"/>
      <c r="J80" s="32" t="n"/>
      <c r="K80" s="32" t="n"/>
      <c r="L80" s="32" t="n"/>
      <c r="M80" s="32" t="n"/>
      <c r="N80" s="32" t="n"/>
      <c r="O80" s="32" t="n"/>
    </row>
    <row r="81">
      <c r="A81" s="32" t="n"/>
      <c r="B81" s="32" t="n"/>
      <c r="C81" s="32" t="n"/>
      <c r="D81" s="32" t="n"/>
      <c r="E81" s="32" t="n"/>
      <c r="F81" s="32" t="n"/>
      <c r="G81" s="32" t="n"/>
      <c r="H81" s="32" t="n"/>
      <c r="I81" s="32" t="n"/>
      <c r="J81" s="32" t="n"/>
      <c r="K81" s="32" t="n"/>
      <c r="L81" s="32" t="n"/>
      <c r="M81" s="32" t="n"/>
      <c r="N81" s="32" t="n"/>
      <c r="O81" s="32" t="n"/>
    </row>
    <row r="82">
      <c r="A82" s="32" t="n"/>
      <c r="B82" s="32" t="n"/>
      <c r="C82" s="32" t="n"/>
      <c r="D82" s="32" t="n"/>
      <c r="E82" s="32" t="n"/>
      <c r="F82" s="32" t="n"/>
      <c r="G82" s="32" t="n"/>
      <c r="H82" s="32" t="n"/>
      <c r="I82" s="32" t="n"/>
      <c r="J82" s="32" t="n"/>
      <c r="K82" s="32" t="n"/>
      <c r="L82" s="32" t="n"/>
      <c r="M82" s="32" t="n"/>
      <c r="N82" s="32" t="n"/>
      <c r="O82" s="32" t="n"/>
    </row>
    <row r="83">
      <c r="A83" s="32" t="n"/>
      <c r="B83" s="32" t="n"/>
      <c r="C83" s="32" t="n"/>
      <c r="D83" s="32" t="n"/>
      <c r="E83" s="32" t="n"/>
      <c r="F83" s="32" t="n"/>
      <c r="G83" s="32" t="n"/>
      <c r="H83" s="32" t="n"/>
      <c r="I83" s="32" t="n"/>
      <c r="J83" s="32" t="n"/>
      <c r="K83" s="32" t="n"/>
      <c r="L83" s="32" t="n"/>
      <c r="M83" s="32" t="n"/>
      <c r="N83" s="32" t="n"/>
      <c r="O83" s="32" t="n"/>
    </row>
    <row r="84">
      <c r="A84" s="32" t="n"/>
      <c r="B84" s="32" t="n"/>
      <c r="C84" s="32" t="n"/>
      <c r="D84" s="32" t="n"/>
      <c r="E84" s="32" t="n"/>
      <c r="F84" s="32" t="n"/>
      <c r="G84" s="32" t="n"/>
      <c r="H84" s="32" t="n"/>
      <c r="I84" s="32" t="n"/>
      <c r="J84" s="32" t="n"/>
      <c r="K84" s="32" t="n"/>
      <c r="L84" s="32" t="n"/>
      <c r="M84" s="32" t="n"/>
      <c r="N84" s="32" t="n"/>
      <c r="O84" s="32" t="n"/>
    </row>
    <row r="85">
      <c r="A85" s="32" t="n"/>
      <c r="B85" s="32" t="n"/>
      <c r="C85" s="32" t="n"/>
      <c r="D85" s="32" t="n"/>
      <c r="E85" s="32" t="n"/>
      <c r="F85" s="32" t="n"/>
      <c r="G85" s="32" t="n"/>
      <c r="H85" s="32" t="n"/>
      <c r="I85" s="32" t="n"/>
      <c r="J85" s="32" t="n"/>
      <c r="K85" s="32" t="n"/>
      <c r="L85" s="32" t="n"/>
      <c r="M85" s="32" t="n"/>
      <c r="N85" s="32" t="n"/>
      <c r="O85" s="32" t="n"/>
    </row>
    <row r="86">
      <c r="A86" s="32" t="n"/>
      <c r="B86" s="32" t="n"/>
      <c r="C86" s="32" t="n"/>
      <c r="D86" s="32" t="n"/>
      <c r="E86" s="32" t="n"/>
      <c r="F86" s="32" t="n"/>
      <c r="G86" s="32" t="n"/>
      <c r="H86" s="32" t="n"/>
      <c r="I86" s="32" t="n"/>
      <c r="J86" s="32" t="n"/>
      <c r="K86" s="32" t="n"/>
      <c r="L86" s="32" t="n"/>
      <c r="M86" s="32" t="n"/>
      <c r="N86" s="32" t="n"/>
      <c r="O86" s="32" t="n"/>
    </row>
    <row r="87">
      <c r="A87" s="32" t="n"/>
      <c r="B87" s="32" t="n"/>
      <c r="C87" s="32" t="n"/>
      <c r="D87" s="32" t="n"/>
      <c r="E87" s="32" t="n"/>
      <c r="F87" s="32" t="n"/>
      <c r="G87" s="32" t="n"/>
      <c r="H87" s="32" t="n"/>
      <c r="I87" s="32" t="n"/>
      <c r="J87" s="32" t="n"/>
      <c r="K87" s="32" t="n"/>
      <c r="L87" s="32" t="n"/>
      <c r="M87" s="32" t="n"/>
      <c r="N87" s="32" t="n"/>
      <c r="O87" s="32" t="n"/>
    </row>
    <row r="88">
      <c r="A88" s="32" t="n"/>
      <c r="B88" s="32" t="n"/>
      <c r="C88" s="32" t="n"/>
      <c r="D88" s="32" t="n"/>
      <c r="E88" s="32" t="n"/>
      <c r="F88" s="32" t="n"/>
      <c r="G88" s="32" t="n"/>
      <c r="H88" s="32" t="n"/>
      <c r="I88" s="32" t="n"/>
      <c r="J88" s="32" t="n"/>
      <c r="K88" s="32" t="n"/>
      <c r="L88" s="32" t="n"/>
      <c r="M88" s="32" t="n"/>
      <c r="N88" s="32" t="n"/>
      <c r="O88" s="32" t="n"/>
    </row>
    <row r="89">
      <c r="A89" s="32" t="n"/>
      <c r="B89" s="32" t="n"/>
      <c r="C89" s="32" t="n"/>
      <c r="D89" s="32" t="n"/>
      <c r="E89" s="32" t="n"/>
      <c r="F89" s="32" t="n"/>
      <c r="G89" s="32" t="n"/>
      <c r="H89" s="32" t="n"/>
      <c r="I89" s="32" t="n"/>
      <c r="J89" s="32" t="n"/>
      <c r="K89" s="32" t="n"/>
      <c r="L89" s="32" t="n"/>
      <c r="M89" s="32" t="n"/>
      <c r="N89" s="32" t="n"/>
      <c r="O89" s="32" t="n"/>
    </row>
    <row r="90">
      <c r="A90" s="32" t="n"/>
      <c r="B90" s="32" t="n"/>
      <c r="C90" s="32" t="n"/>
      <c r="D90" s="32" t="n"/>
      <c r="E90" s="32" t="n"/>
      <c r="F90" s="32" t="n"/>
      <c r="G90" s="32" t="n"/>
      <c r="H90" s="32" t="n"/>
      <c r="I90" s="32" t="n"/>
      <c r="J90" s="32" t="n"/>
      <c r="K90" s="32" t="n"/>
      <c r="L90" s="32" t="n"/>
      <c r="M90" s="32" t="n"/>
      <c r="N90" s="32" t="n"/>
      <c r="O90" s="32" t="n"/>
    </row>
    <row r="91">
      <c r="A91" s="32" t="n"/>
      <c r="B91" s="32" t="n"/>
      <c r="C91" s="32" t="n"/>
      <c r="D91" s="32" t="n"/>
      <c r="E91" s="32" t="n"/>
      <c r="F91" s="32" t="n"/>
      <c r="G91" s="32" t="n"/>
      <c r="H91" s="32" t="n"/>
      <c r="I91" s="32" t="n"/>
      <c r="J91" s="32" t="n"/>
      <c r="K91" s="32" t="n"/>
      <c r="L91" s="32" t="n"/>
      <c r="M91" s="32" t="n"/>
      <c r="N91" s="32" t="n"/>
      <c r="O91" s="32" t="n"/>
    </row>
    <row r="92">
      <c r="A92" s="32" t="n"/>
      <c r="B92" s="32" t="n"/>
      <c r="C92" s="32" t="n"/>
      <c r="D92" s="32" t="n"/>
      <c r="E92" s="32" t="n"/>
      <c r="F92" s="32" t="n"/>
      <c r="G92" s="32" t="n"/>
      <c r="H92" s="32" t="n"/>
      <c r="I92" s="32" t="n"/>
      <c r="J92" s="32" t="n"/>
      <c r="K92" s="32" t="n"/>
      <c r="L92" s="32" t="n"/>
      <c r="M92" s="32" t="n"/>
      <c r="N92" s="32" t="n"/>
      <c r="O92" s="32" t="n"/>
    </row>
    <row r="93">
      <c r="A93" s="32" t="n"/>
      <c r="B93" s="32" t="n"/>
      <c r="C93" s="32" t="n"/>
      <c r="D93" s="32" t="n"/>
      <c r="E93" s="32" t="n"/>
      <c r="F93" s="32" t="n"/>
      <c r="G93" s="32" t="n"/>
      <c r="H93" s="32" t="n"/>
      <c r="I93" s="32" t="n"/>
      <c r="J93" s="32" t="n"/>
      <c r="K93" s="32" t="n"/>
      <c r="L93" s="32" t="n"/>
      <c r="M93" s="32" t="n"/>
      <c r="N93" s="32" t="n"/>
      <c r="O93" s="32" t="n"/>
    </row>
    <row r="94">
      <c r="A94" s="32" t="n"/>
      <c r="B94" s="32" t="n"/>
      <c r="C94" s="32" t="n"/>
      <c r="D94" s="32" t="n"/>
      <c r="E94" s="32" t="n"/>
      <c r="F94" s="32" t="n"/>
      <c r="G94" s="32" t="n"/>
      <c r="H94" s="32" t="n"/>
      <c r="I94" s="32" t="n"/>
      <c r="J94" s="32" t="n"/>
      <c r="K94" s="32" t="n"/>
      <c r="L94" s="32" t="n"/>
      <c r="M94" s="32" t="n"/>
      <c r="N94" s="32" t="n"/>
      <c r="O94" s="32" t="n"/>
    </row>
    <row r="95">
      <c r="A95" s="32" t="n"/>
      <c r="B95" s="32" t="n"/>
      <c r="C95" s="32" t="n"/>
      <c r="D95" s="32" t="n"/>
      <c r="E95" s="32" t="n"/>
      <c r="F95" s="32" t="n"/>
      <c r="G95" s="32" t="n"/>
      <c r="H95" s="32" t="n"/>
      <c r="I95" s="32" t="n"/>
      <c r="J95" s="32" t="n"/>
      <c r="K95" s="32" t="n"/>
      <c r="L95" s="32" t="n"/>
      <c r="M95" s="32" t="n"/>
      <c r="N95" s="32" t="n"/>
      <c r="O95" s="32" t="n"/>
    </row>
    <row r="96">
      <c r="A96" s="32" t="n"/>
      <c r="B96" s="32" t="n"/>
      <c r="C96" s="32" t="n"/>
      <c r="D96" s="32" t="n"/>
      <c r="E96" s="32" t="n"/>
      <c r="F96" s="32" t="n"/>
      <c r="G96" s="32" t="n"/>
      <c r="H96" s="32" t="n"/>
      <c r="I96" s="32" t="n"/>
      <c r="J96" s="32" t="n"/>
      <c r="K96" s="32" t="n"/>
      <c r="L96" s="32" t="n"/>
      <c r="M96" s="32" t="n"/>
      <c r="N96" s="32" t="n"/>
      <c r="O96" s="32" t="n"/>
    </row>
    <row r="97">
      <c r="A97" s="32" t="n"/>
      <c r="B97" s="32" t="n"/>
      <c r="C97" s="32" t="n"/>
      <c r="D97" s="32" t="n"/>
      <c r="E97" s="32" t="n"/>
      <c r="F97" s="32" t="n"/>
      <c r="G97" s="32" t="n"/>
      <c r="H97" s="32" t="n"/>
      <c r="I97" s="32" t="n"/>
      <c r="J97" s="32" t="n"/>
      <c r="K97" s="32" t="n"/>
      <c r="L97" s="32" t="n"/>
      <c r="M97" s="32" t="n"/>
      <c r="N97" s="32" t="n"/>
      <c r="O97" s="32" t="n"/>
    </row>
    <row r="98">
      <c r="A98" s="32" t="n"/>
      <c r="B98" s="32" t="n"/>
      <c r="C98" s="32" t="n"/>
      <c r="D98" s="32" t="n"/>
      <c r="E98" s="32" t="n"/>
      <c r="F98" s="32" t="n"/>
      <c r="G98" s="32" t="n"/>
      <c r="H98" s="32" t="n"/>
      <c r="I98" s="32" t="n"/>
      <c r="J98" s="32" t="n"/>
      <c r="K98" s="32" t="n"/>
      <c r="L98" s="32" t="n"/>
      <c r="M98" s="32" t="n"/>
      <c r="N98" s="32" t="n"/>
      <c r="O98" s="32" t="n"/>
    </row>
    <row r="99">
      <c r="A99" s="32" t="n"/>
      <c r="B99" s="32" t="n"/>
      <c r="C99" s="32" t="n"/>
      <c r="D99" s="32" t="n"/>
      <c r="E99" s="32" t="n"/>
      <c r="F99" s="32" t="n"/>
      <c r="G99" s="32" t="n"/>
      <c r="H99" s="32" t="n"/>
      <c r="I99" s="32" t="n"/>
      <c r="J99" s="32" t="n"/>
      <c r="K99" s="32" t="n"/>
      <c r="L99" s="32" t="n"/>
      <c r="M99" s="32" t="n"/>
      <c r="N99" s="32" t="n"/>
      <c r="O99" s="32" t="n"/>
    </row>
    <row r="100">
      <c r="A100" s="32" t="n"/>
      <c r="B100" s="32" t="n"/>
      <c r="C100" s="32" t="n"/>
      <c r="D100" s="32" t="n"/>
      <c r="E100" s="32" t="n"/>
      <c r="F100" s="32" t="n"/>
      <c r="G100" s="32" t="n"/>
      <c r="H100" s="32" t="n"/>
      <c r="I100" s="32" t="n"/>
      <c r="J100" s="32" t="n"/>
      <c r="K100" s="32" t="n"/>
      <c r="L100" s="32" t="n"/>
      <c r="M100" s="32" t="n"/>
      <c r="N100" s="32" t="n"/>
      <c r="O100" s="32" t="n"/>
    </row>
    <row r="101">
      <c r="A101" s="32" t="n"/>
      <c r="B101" s="32" t="n"/>
      <c r="C101" s="32" t="n"/>
      <c r="D101" s="32" t="n"/>
      <c r="E101" s="32" t="n"/>
      <c r="F101" s="32" t="n"/>
      <c r="G101" s="32" t="n"/>
      <c r="H101" s="32" t="n"/>
      <c r="I101" s="32" t="n"/>
      <c r="J101" s="32" t="n"/>
      <c r="K101" s="32" t="n"/>
      <c r="L101" s="32" t="n"/>
      <c r="M101" s="32" t="n"/>
      <c r="N101" s="32" t="n"/>
      <c r="O101" s="32" t="n"/>
    </row>
    <row r="102">
      <c r="A102" s="32" t="n"/>
      <c r="B102" s="32" t="n"/>
      <c r="C102" s="32" t="n"/>
      <c r="D102" s="32" t="n"/>
      <c r="E102" s="32" t="n"/>
      <c r="F102" s="32" t="n"/>
      <c r="G102" s="32" t="n"/>
      <c r="H102" s="32" t="n"/>
      <c r="I102" s="32" t="n"/>
      <c r="J102" s="32" t="n"/>
      <c r="K102" s="32" t="n"/>
      <c r="L102" s="32" t="n"/>
      <c r="M102" s="32" t="n"/>
      <c r="N102" s="32" t="n"/>
      <c r="O102" s="32" t="n"/>
    </row>
    <row r="103">
      <c r="A103" s="32" t="n"/>
      <c r="B103" s="32" t="n"/>
      <c r="C103" s="32" t="n"/>
      <c r="D103" s="32" t="n"/>
      <c r="E103" s="32" t="n"/>
      <c r="F103" s="32" t="n"/>
      <c r="G103" s="32" t="n"/>
      <c r="H103" s="32" t="n"/>
      <c r="I103" s="32" t="n"/>
      <c r="J103" s="32" t="n"/>
      <c r="K103" s="32" t="n"/>
      <c r="L103" s="32" t="n"/>
      <c r="M103" s="32" t="n"/>
      <c r="N103" s="32" t="n"/>
      <c r="O103" s="32" t="n"/>
    </row>
    <row r="104">
      <c r="A104" s="32" t="n"/>
      <c r="B104" s="32" t="n"/>
      <c r="C104" s="32" t="n"/>
      <c r="D104" s="32" t="n"/>
      <c r="E104" s="32" t="n"/>
      <c r="F104" s="32" t="n"/>
      <c r="G104" s="32" t="n"/>
      <c r="H104" s="32" t="n"/>
      <c r="I104" s="32" t="n"/>
      <c r="J104" s="32" t="n"/>
      <c r="K104" s="32" t="n"/>
      <c r="L104" s="32" t="n"/>
      <c r="M104" s="32" t="n"/>
      <c r="N104" s="32" t="n"/>
      <c r="O104" s="32" t="n"/>
    </row>
    <row r="105">
      <c r="A105" s="32" t="n"/>
      <c r="B105" s="32" t="n"/>
      <c r="C105" s="32" t="n"/>
      <c r="D105" s="32" t="n"/>
      <c r="E105" s="32" t="n"/>
      <c r="F105" s="32" t="n"/>
      <c r="G105" s="32" t="n"/>
      <c r="H105" s="32" t="n"/>
      <c r="I105" s="32" t="n"/>
      <c r="J105" s="32" t="n"/>
      <c r="K105" s="32" t="n"/>
      <c r="L105" s="32" t="n"/>
      <c r="M105" s="32" t="n"/>
      <c r="N105" s="32" t="n"/>
      <c r="O105" s="32" t="n"/>
    </row>
    <row r="106">
      <c r="A106" s="32" t="n"/>
      <c r="B106" s="32" t="n"/>
      <c r="C106" s="32" t="n"/>
      <c r="D106" s="32" t="n"/>
      <c r="E106" s="32" t="n"/>
      <c r="F106" s="32" t="n"/>
      <c r="G106" s="32" t="n"/>
      <c r="H106" s="32" t="n"/>
      <c r="I106" s="32" t="n"/>
      <c r="J106" s="32" t="n"/>
      <c r="K106" s="32" t="n"/>
      <c r="L106" s="32" t="n"/>
      <c r="M106" s="32" t="n"/>
      <c r="N106" s="32" t="n"/>
      <c r="O106" s="32" t="n"/>
    </row>
    <row r="107">
      <c r="A107" s="32" t="n"/>
      <c r="B107" s="32" t="n"/>
      <c r="C107" s="32" t="n"/>
      <c r="D107" s="32" t="n"/>
      <c r="E107" s="32" t="n"/>
      <c r="F107" s="32" t="n"/>
      <c r="G107" s="32" t="n"/>
      <c r="H107" s="32" t="n"/>
      <c r="I107" s="32" t="n"/>
      <c r="J107" s="32" t="n"/>
      <c r="K107" s="32" t="n"/>
      <c r="L107" s="32" t="n"/>
      <c r="M107" s="32" t="n"/>
      <c r="N107" s="32" t="n"/>
      <c r="O107" s="32" t="n"/>
    </row>
    <row r="108">
      <c r="A108" s="32" t="n"/>
      <c r="B108" s="32" t="n"/>
      <c r="C108" s="32" t="n"/>
      <c r="D108" s="32" t="n"/>
      <c r="E108" s="32" t="n"/>
      <c r="F108" s="32" t="n"/>
      <c r="G108" s="32" t="n"/>
      <c r="H108" s="32" t="n"/>
      <c r="I108" s="32" t="n"/>
      <c r="J108" s="32" t="n"/>
      <c r="K108" s="32" t="n"/>
      <c r="L108" s="32" t="n"/>
      <c r="M108" s="32" t="n"/>
      <c r="N108" s="32" t="n"/>
      <c r="O108" s="32" t="n"/>
    </row>
    <row r="109">
      <c r="A109" s="32" t="n"/>
      <c r="B109" s="32" t="n"/>
      <c r="C109" s="32" t="n"/>
      <c r="D109" s="32" t="n"/>
      <c r="E109" s="32" t="n"/>
      <c r="F109" s="32" t="n"/>
      <c r="G109" s="32" t="n"/>
      <c r="H109" s="32" t="n"/>
      <c r="I109" s="32" t="n"/>
      <c r="J109" s="32" t="n"/>
      <c r="K109" s="32" t="n"/>
      <c r="L109" s="32" t="n"/>
      <c r="M109" s="32" t="n"/>
      <c r="N109" s="32" t="n"/>
      <c r="O109" s="32" t="n"/>
    </row>
    <row r="110">
      <c r="A110" s="32" t="n"/>
      <c r="B110" s="32" t="n"/>
      <c r="C110" s="32" t="n"/>
      <c r="D110" s="32" t="n"/>
      <c r="E110" s="32" t="n"/>
      <c r="F110" s="32" t="n"/>
      <c r="G110" s="32" t="n"/>
      <c r="H110" s="32" t="n"/>
      <c r="I110" s="32" t="n"/>
      <c r="J110" s="32" t="n"/>
      <c r="K110" s="32" t="n"/>
      <c r="L110" s="32" t="n"/>
      <c r="M110" s="32" t="n"/>
      <c r="N110" s="32" t="n"/>
      <c r="O110" s="32" t="n"/>
    </row>
    <row r="111">
      <c r="A111" s="32" t="n"/>
      <c r="B111" s="32" t="n"/>
      <c r="C111" s="32" t="n"/>
      <c r="D111" s="32" t="n"/>
      <c r="E111" s="32" t="n"/>
      <c r="F111" s="32" t="n"/>
      <c r="G111" s="32" t="n"/>
      <c r="H111" s="32" t="n"/>
      <c r="I111" s="32" t="n"/>
      <c r="J111" s="32" t="n"/>
      <c r="K111" s="32" t="n"/>
      <c r="L111" s="32" t="n"/>
      <c r="M111" s="32" t="n"/>
      <c r="N111" s="32" t="n"/>
      <c r="O111" s="32" t="n"/>
    </row>
    <row r="112">
      <c r="A112" s="32" t="n"/>
      <c r="B112" s="32" t="n"/>
      <c r="C112" s="32" t="n"/>
      <c r="D112" s="32" t="n"/>
      <c r="E112" s="32" t="n"/>
      <c r="F112" s="32" t="n"/>
      <c r="G112" s="32" t="n"/>
      <c r="H112" s="32" t="n"/>
      <c r="I112" s="32" t="n"/>
      <c r="J112" s="32" t="n"/>
      <c r="K112" s="32" t="n"/>
      <c r="L112" s="32" t="n"/>
      <c r="M112" s="32" t="n"/>
      <c r="N112" s="32" t="n"/>
      <c r="O112" s="32" t="n"/>
    </row>
    <row r="113">
      <c r="A113" s="32" t="n"/>
      <c r="B113" s="32" t="n"/>
      <c r="C113" s="32" t="n"/>
      <c r="D113" s="32" t="n"/>
      <c r="E113" s="32" t="n"/>
      <c r="F113" s="32" t="n"/>
      <c r="G113" s="32" t="n"/>
      <c r="H113" s="32" t="n"/>
      <c r="I113" s="32" t="n"/>
      <c r="J113" s="32" t="n"/>
      <c r="K113" s="32" t="n"/>
      <c r="L113" s="32" t="n"/>
      <c r="M113" s="32" t="n"/>
      <c r="N113" s="32" t="n"/>
      <c r="O113" s="32" t="n"/>
    </row>
    <row r="114">
      <c r="A114" s="32" t="n"/>
      <c r="B114" s="32" t="n"/>
      <c r="C114" s="32" t="n"/>
      <c r="D114" s="32" t="n"/>
      <c r="E114" s="32" t="n"/>
      <c r="F114" s="32" t="n"/>
      <c r="G114" s="32" t="n"/>
      <c r="H114" s="32" t="n"/>
      <c r="I114" s="32" t="n"/>
      <c r="J114" s="32" t="n"/>
      <c r="K114" s="32" t="n"/>
      <c r="L114" s="32" t="n"/>
      <c r="M114" s="32" t="n"/>
      <c r="N114" s="32" t="n"/>
      <c r="O114" s="32" t="n"/>
    </row>
    <row r="115">
      <c r="A115" s="32" t="n"/>
      <c r="B115" s="32" t="n"/>
      <c r="C115" s="32" t="n"/>
      <c r="D115" s="32" t="n"/>
      <c r="E115" s="32" t="n"/>
      <c r="F115" s="32" t="n"/>
      <c r="G115" s="32" t="n"/>
      <c r="H115" s="32" t="n"/>
      <c r="I115" s="32" t="n"/>
      <c r="J115" s="32" t="n"/>
      <c r="K115" s="32" t="n"/>
      <c r="L115" s="32" t="n"/>
      <c r="M115" s="32" t="n"/>
      <c r="N115" s="32" t="n"/>
      <c r="O115" s="32" t="n"/>
    </row>
    <row r="116">
      <c r="A116" s="32" t="n"/>
      <c r="B116" s="32" t="n"/>
      <c r="C116" s="32" t="n"/>
      <c r="D116" s="32" t="n"/>
      <c r="E116" s="32" t="n"/>
      <c r="F116" s="32" t="n"/>
      <c r="G116" s="32" t="n"/>
      <c r="H116" s="32" t="n"/>
      <c r="I116" s="32" t="n"/>
      <c r="J116" s="32" t="n"/>
      <c r="K116" s="32" t="n"/>
      <c r="L116" s="32" t="n"/>
      <c r="M116" s="32" t="n"/>
      <c r="N116" s="32" t="n"/>
      <c r="O116" s="32" t="n"/>
    </row>
    <row r="117">
      <c r="A117" s="32" t="n"/>
      <c r="B117" s="32" t="n"/>
      <c r="C117" s="32" t="n"/>
      <c r="D117" s="32" t="n"/>
      <c r="E117" s="32" t="n"/>
      <c r="F117" s="32" t="n"/>
      <c r="G117" s="32" t="n"/>
      <c r="H117" s="32" t="n"/>
      <c r="I117" s="32" t="n"/>
      <c r="J117" s="32" t="n"/>
      <c r="K117" s="32" t="n"/>
      <c r="L117" s="32" t="n"/>
      <c r="M117" s="32" t="n"/>
      <c r="N117" s="32" t="n"/>
      <c r="O117" s="32" t="n"/>
    </row>
    <row r="118">
      <c r="A118" s="32" t="n"/>
      <c r="B118" s="32" t="n"/>
      <c r="C118" s="32" t="n"/>
      <c r="D118" s="32" t="n"/>
      <c r="E118" s="32" t="n"/>
      <c r="F118" s="32" t="n"/>
      <c r="G118" s="32" t="n"/>
      <c r="H118" s="32" t="n"/>
      <c r="I118" s="32" t="n"/>
      <c r="J118" s="32" t="n"/>
      <c r="K118" s="32" t="n"/>
      <c r="L118" s="32" t="n"/>
      <c r="M118" s="32" t="n"/>
      <c r="N118" s="32" t="n"/>
      <c r="O118" s="32" t="n"/>
    </row>
    <row r="119">
      <c r="A119" s="32" t="n"/>
      <c r="B119" s="32" t="n"/>
      <c r="C119" s="32" t="n"/>
      <c r="D119" s="32" t="n"/>
      <c r="E119" s="32" t="n"/>
      <c r="F119" s="32" t="n"/>
      <c r="G119" s="32" t="n"/>
      <c r="H119" s="32" t="n"/>
      <c r="I119" s="32" t="n"/>
      <c r="J119" s="32" t="n"/>
      <c r="K119" s="32" t="n"/>
      <c r="L119" s="32" t="n"/>
      <c r="M119" s="32" t="n"/>
      <c r="N119" s="32" t="n"/>
      <c r="O119" s="32" t="n"/>
    </row>
    <row r="120">
      <c r="A120" s="32" t="n"/>
      <c r="B120" s="32" t="n"/>
      <c r="C120" s="32" t="n"/>
      <c r="D120" s="32" t="n"/>
      <c r="E120" s="32" t="n"/>
      <c r="F120" s="32" t="n"/>
      <c r="G120" s="32" t="n"/>
      <c r="H120" s="32" t="n"/>
      <c r="I120" s="32" t="n"/>
      <c r="J120" s="32" t="n"/>
      <c r="K120" s="32" t="n"/>
      <c r="L120" s="32" t="n"/>
      <c r="M120" s="32" t="n"/>
      <c r="N120" s="32" t="n"/>
      <c r="O120" s="32" t="n"/>
    </row>
    <row r="121">
      <c r="A121" s="32" t="n"/>
      <c r="B121" s="32" t="n"/>
      <c r="C121" s="32" t="n"/>
      <c r="D121" s="32" t="n"/>
      <c r="E121" s="32" t="n"/>
      <c r="F121" s="32" t="n"/>
      <c r="G121" s="32" t="n"/>
      <c r="H121" s="32" t="n"/>
      <c r="I121" s="32" t="n"/>
      <c r="J121" s="32" t="n"/>
      <c r="K121" s="32" t="n"/>
      <c r="L121" s="32" t="n"/>
      <c r="M121" s="32" t="n"/>
      <c r="N121" s="32" t="n"/>
      <c r="O121" s="32" t="n"/>
    </row>
    <row r="122">
      <c r="A122" s="32" t="n"/>
      <c r="B122" s="32" t="n"/>
      <c r="C122" s="32" t="n"/>
      <c r="D122" s="32" t="n"/>
      <c r="E122" s="32" t="n"/>
      <c r="F122" s="32" t="n"/>
      <c r="G122" s="32" t="n"/>
      <c r="H122" s="32" t="n"/>
      <c r="I122" s="32" t="n"/>
      <c r="J122" s="32" t="n"/>
      <c r="K122" s="32" t="n"/>
      <c r="L122" s="32" t="n"/>
      <c r="M122" s="32" t="n"/>
      <c r="N122" s="32" t="n"/>
      <c r="O122" s="32" t="n"/>
    </row>
    <row r="123">
      <c r="A123" s="32" t="n"/>
      <c r="B123" s="32" t="n"/>
      <c r="C123" s="32" t="n"/>
      <c r="D123" s="32" t="n"/>
      <c r="E123" s="32" t="n"/>
      <c r="F123" s="32" t="n"/>
      <c r="G123" s="32" t="n"/>
      <c r="H123" s="32" t="n"/>
      <c r="I123" s="32" t="n"/>
      <c r="J123" s="32" t="n"/>
      <c r="K123" s="32" t="n"/>
      <c r="L123" s="32" t="n"/>
      <c r="M123" s="32" t="n"/>
      <c r="N123" s="32" t="n"/>
      <c r="O123" s="32" t="n"/>
    </row>
    <row r="124">
      <c r="A124" s="32" t="n"/>
      <c r="B124" s="32" t="n"/>
      <c r="C124" s="32" t="n"/>
      <c r="D124" s="32" t="n"/>
      <c r="E124" s="32" t="n"/>
      <c r="F124" s="32" t="n"/>
      <c r="G124" s="32" t="n"/>
      <c r="H124" s="32" t="n"/>
      <c r="I124" s="32" t="n"/>
      <c r="J124" s="32" t="n"/>
      <c r="K124" s="32" t="n"/>
      <c r="L124" s="32" t="n"/>
      <c r="M124" s="32" t="n"/>
      <c r="N124" s="32" t="n"/>
      <c r="O124" s="32" t="n"/>
    </row>
    <row r="125">
      <c r="A125" s="32" t="n"/>
      <c r="B125" s="32" t="n"/>
      <c r="C125" s="32" t="n"/>
      <c r="D125" s="32" t="n"/>
      <c r="E125" s="32" t="n"/>
      <c r="F125" s="32" t="n"/>
      <c r="G125" s="32" t="n"/>
      <c r="H125" s="32" t="n"/>
      <c r="I125" s="32" t="n"/>
      <c r="J125" s="32" t="n"/>
      <c r="K125" s="32" t="n"/>
      <c r="L125" s="32" t="n"/>
      <c r="M125" s="32" t="n"/>
      <c r="N125" s="32" t="n"/>
      <c r="O125" s="32" t="n"/>
    </row>
    <row r="126">
      <c r="A126" s="32" t="n"/>
      <c r="B126" s="32" t="n"/>
      <c r="C126" s="32" t="n"/>
      <c r="D126" s="32" t="n"/>
      <c r="E126" s="32" t="n"/>
      <c r="F126" s="32" t="n"/>
      <c r="G126" s="32" t="n"/>
      <c r="H126" s="32" t="n"/>
      <c r="I126" s="32" t="n"/>
      <c r="J126" s="32" t="n"/>
      <c r="K126" s="32" t="n"/>
      <c r="L126" s="32" t="n"/>
      <c r="M126" s="32" t="n"/>
      <c r="N126" s="32" t="n"/>
      <c r="O126" s="32" t="n"/>
    </row>
    <row r="127">
      <c r="A127" s="32" t="n"/>
      <c r="B127" s="32" t="n"/>
      <c r="C127" s="32" t="n"/>
      <c r="D127" s="32" t="n"/>
      <c r="E127" s="32" t="n"/>
      <c r="F127" s="32" t="n"/>
      <c r="G127" s="32" t="n"/>
      <c r="H127" s="32" t="n"/>
      <c r="I127" s="32" t="n"/>
      <c r="J127" s="32" t="n"/>
      <c r="K127" s="32" t="n"/>
      <c r="L127" s="32" t="n"/>
      <c r="M127" s="32" t="n"/>
      <c r="N127" s="32" t="n"/>
      <c r="O127" s="32" t="n"/>
    </row>
    <row r="128">
      <c r="A128" s="32" t="n"/>
      <c r="B128" s="32" t="n"/>
      <c r="C128" s="32" t="n"/>
      <c r="D128" s="32" t="n"/>
      <c r="E128" s="32" t="n"/>
      <c r="F128" s="32" t="n"/>
      <c r="G128" s="32" t="n"/>
      <c r="H128" s="32" t="n"/>
      <c r="I128" s="32" t="n"/>
      <c r="J128" s="32" t="n"/>
      <c r="K128" s="32" t="n"/>
      <c r="L128" s="32" t="n"/>
      <c r="M128" s="32" t="n"/>
      <c r="N128" s="32" t="n"/>
      <c r="O128" s="32" t="n"/>
    </row>
    <row r="129">
      <c r="A129" s="32" t="n"/>
      <c r="B129" s="32" t="n"/>
      <c r="C129" s="32" t="n"/>
      <c r="D129" s="32" t="n"/>
      <c r="E129" s="32" t="n"/>
      <c r="F129" s="32" t="n"/>
      <c r="G129" s="32" t="n"/>
      <c r="H129" s="32" t="n"/>
      <c r="I129" s="32" t="n"/>
      <c r="J129" s="32" t="n"/>
      <c r="K129" s="32" t="n"/>
      <c r="L129" s="32" t="n"/>
      <c r="M129" s="32" t="n"/>
      <c r="N129" s="32" t="n"/>
      <c r="O129" s="32" t="n"/>
    </row>
    <row r="130">
      <c r="A130" s="32" t="n"/>
      <c r="B130" s="32" t="n"/>
      <c r="C130" s="32" t="n"/>
      <c r="D130" s="32" t="n"/>
      <c r="E130" s="32" t="n"/>
      <c r="F130" s="32" t="n"/>
      <c r="G130" s="32" t="n"/>
      <c r="H130" s="32" t="n"/>
      <c r="I130" s="32" t="n"/>
      <c r="J130" s="32" t="n"/>
      <c r="K130" s="32" t="n"/>
      <c r="L130" s="32" t="n"/>
      <c r="M130" s="32" t="n"/>
      <c r="N130" s="32" t="n"/>
      <c r="O130" s="32" t="n"/>
    </row>
    <row r="131">
      <c r="A131" s="32" t="n"/>
      <c r="B131" s="32" t="n"/>
      <c r="C131" s="32" t="n"/>
      <c r="D131" s="32" t="n"/>
      <c r="E131" s="32" t="n"/>
      <c r="F131" s="32" t="n"/>
      <c r="G131" s="32" t="n"/>
      <c r="H131" s="32" t="n"/>
      <c r="I131" s="32" t="n"/>
      <c r="J131" s="32" t="n"/>
      <c r="K131" s="32" t="n"/>
      <c r="L131" s="32" t="n"/>
      <c r="M131" s="32" t="n"/>
      <c r="N131" s="32" t="n"/>
      <c r="O131" s="32" t="n"/>
    </row>
    <row r="132">
      <c r="A132" s="32" t="n"/>
      <c r="B132" s="32" t="n"/>
      <c r="C132" s="32" t="n"/>
      <c r="D132" s="32" t="n"/>
      <c r="E132" s="32" t="n"/>
      <c r="F132" s="32" t="n"/>
      <c r="G132" s="32" t="n"/>
      <c r="H132" s="32" t="n"/>
      <c r="I132" s="32" t="n"/>
      <c r="J132" s="32" t="n"/>
      <c r="K132" s="32" t="n"/>
      <c r="L132" s="32" t="n"/>
      <c r="M132" s="32" t="n"/>
      <c r="N132" s="32" t="n"/>
      <c r="O132" s="32" t="n"/>
    </row>
    <row r="133">
      <c r="A133" s="32" t="n"/>
      <c r="B133" s="32" t="n"/>
      <c r="C133" s="32" t="n"/>
      <c r="D133" s="32" t="n"/>
      <c r="E133" s="32" t="n"/>
      <c r="F133" s="32" t="n"/>
      <c r="G133" s="32" t="n"/>
      <c r="H133" s="32" t="n"/>
      <c r="I133" s="32" t="n"/>
      <c r="J133" s="32" t="n"/>
      <c r="K133" s="32" t="n"/>
      <c r="L133" s="32" t="n"/>
      <c r="M133" s="32" t="n"/>
      <c r="N133" s="32" t="n"/>
      <c r="O133" s="32" t="n"/>
    </row>
    <row r="134">
      <c r="A134" s="32" t="n"/>
      <c r="B134" s="32" t="n"/>
      <c r="C134" s="32" t="n"/>
      <c r="D134" s="32" t="n"/>
      <c r="E134" s="32" t="n"/>
      <c r="F134" s="32" t="n"/>
      <c r="G134" s="32" t="n"/>
      <c r="H134" s="32" t="n"/>
      <c r="I134" s="32" t="n"/>
      <c r="J134" s="32" t="n"/>
      <c r="K134" s="32" t="n"/>
      <c r="L134" s="32" t="n"/>
      <c r="M134" s="32" t="n"/>
      <c r="N134" s="32" t="n"/>
      <c r="O134" s="32" t="n"/>
    </row>
    <row r="135">
      <c r="A135" s="32" t="n"/>
      <c r="B135" s="32" t="n"/>
      <c r="C135" s="32" t="n"/>
      <c r="D135" s="32" t="n"/>
      <c r="E135" s="32" t="n"/>
      <c r="F135" s="32" t="n"/>
      <c r="G135" s="32" t="n"/>
      <c r="H135" s="32" t="n"/>
      <c r="I135" s="32" t="n"/>
      <c r="J135" s="32" t="n"/>
      <c r="K135" s="32" t="n"/>
      <c r="L135" s="32" t="n"/>
      <c r="M135" s="32" t="n"/>
      <c r="N135" s="32" t="n"/>
      <c r="O135" s="32" t="n"/>
    </row>
    <row r="136">
      <c r="A136" s="32" t="n"/>
      <c r="B136" s="32" t="n"/>
      <c r="C136" s="32" t="n"/>
      <c r="D136" s="32" t="n"/>
      <c r="E136" s="32" t="n"/>
      <c r="F136" s="32" t="n"/>
      <c r="G136" s="32" t="n"/>
      <c r="H136" s="32" t="n"/>
      <c r="I136" s="32" t="n"/>
      <c r="J136" s="32" t="n"/>
      <c r="K136" s="32" t="n"/>
      <c r="L136" s="32" t="n"/>
      <c r="M136" s="32" t="n"/>
      <c r="N136" s="32" t="n"/>
      <c r="O136" s="32" t="n"/>
    </row>
    <row r="137">
      <c r="A137" s="32" t="n"/>
      <c r="B137" s="32" t="n"/>
      <c r="C137" s="32" t="n"/>
      <c r="D137" s="32" t="n"/>
      <c r="E137" s="32" t="n"/>
      <c r="F137" s="32" t="n"/>
      <c r="G137" s="32" t="n"/>
      <c r="H137" s="32" t="n"/>
      <c r="I137" s="32" t="n"/>
      <c r="J137" s="32" t="n"/>
      <c r="K137" s="32" t="n"/>
      <c r="L137" s="32" t="n"/>
      <c r="M137" s="32" t="n"/>
      <c r="N137" s="32" t="n"/>
      <c r="O137" s="32" t="n"/>
    </row>
    <row r="138">
      <c r="A138" s="32" t="n"/>
      <c r="B138" s="32" t="n"/>
      <c r="C138" s="32" t="n"/>
      <c r="D138" s="32" t="n"/>
      <c r="E138" s="32" t="n"/>
      <c r="F138" s="32" t="n"/>
      <c r="G138" s="32" t="n"/>
      <c r="H138" s="32" t="n"/>
      <c r="I138" s="32" t="n"/>
      <c r="J138" s="32" t="n"/>
      <c r="K138" s="32" t="n"/>
      <c r="L138" s="32" t="n"/>
      <c r="M138" s="32" t="n"/>
      <c r="N138" s="32" t="n"/>
      <c r="O138" s="32" t="n"/>
    </row>
    <row r="139">
      <c r="A139" s="32" t="n"/>
      <c r="B139" s="32" t="n"/>
      <c r="C139" s="32" t="n"/>
      <c r="D139" s="32" t="n"/>
      <c r="E139" s="32" t="n"/>
      <c r="F139" s="32" t="n"/>
      <c r="G139" s="32" t="n"/>
      <c r="H139" s="32" t="n"/>
      <c r="I139" s="32" t="n"/>
      <c r="J139" s="32" t="n"/>
      <c r="K139" s="32" t="n"/>
      <c r="L139" s="32" t="n"/>
      <c r="M139" s="32" t="n"/>
      <c r="N139" s="32" t="n"/>
      <c r="O139" s="32" t="n"/>
    </row>
    <row r="140">
      <c r="A140" s="32" t="n"/>
      <c r="B140" s="32" t="n"/>
      <c r="C140" s="32" t="n"/>
      <c r="D140" s="32" t="n"/>
      <c r="E140" s="32" t="n"/>
      <c r="F140" s="32" t="n"/>
      <c r="G140" s="32" t="n"/>
      <c r="H140" s="32" t="n"/>
      <c r="I140" s="32" t="n"/>
      <c r="J140" s="32" t="n"/>
      <c r="K140" s="32" t="n"/>
      <c r="L140" s="32" t="n"/>
      <c r="M140" s="32" t="n"/>
      <c r="N140" s="32" t="n"/>
      <c r="O140" s="32" t="n"/>
    </row>
    <row r="141">
      <c r="A141" s="32" t="n"/>
      <c r="B141" s="32" t="n"/>
      <c r="C141" s="32" t="n"/>
      <c r="D141" s="32" t="n"/>
      <c r="E141" s="32" t="n"/>
      <c r="F141" s="32" t="n"/>
      <c r="G141" s="32" t="n"/>
      <c r="H141" s="32" t="n"/>
      <c r="I141" s="32" t="n"/>
      <c r="J141" s="32" t="n"/>
      <c r="K141" s="32" t="n"/>
      <c r="L141" s="32" t="n"/>
      <c r="M141" s="32" t="n"/>
      <c r="N141" s="32" t="n"/>
      <c r="O141" s="32" t="n"/>
    </row>
    <row r="142">
      <c r="A142" s="32" t="n"/>
      <c r="B142" s="32" t="n"/>
      <c r="C142" s="32" t="n"/>
      <c r="D142" s="32" t="n"/>
      <c r="E142" s="32" t="n"/>
      <c r="F142" s="32" t="n"/>
      <c r="G142" s="32" t="n"/>
      <c r="H142" s="32" t="n"/>
      <c r="I142" s="32" t="n"/>
      <c r="J142" s="32" t="n"/>
      <c r="K142" s="32" t="n"/>
      <c r="L142" s="32" t="n"/>
      <c r="M142" s="32" t="n"/>
      <c r="N142" s="32" t="n"/>
      <c r="O142" s="32" t="n"/>
    </row>
    <row r="143">
      <c r="A143" s="32" t="n"/>
      <c r="B143" s="32" t="n"/>
      <c r="C143" s="32" t="n"/>
      <c r="D143" s="32" t="n"/>
      <c r="E143" s="32" t="n"/>
      <c r="F143" s="32" t="n"/>
      <c r="G143" s="32" t="n"/>
      <c r="H143" s="32" t="n"/>
      <c r="I143" s="32" t="n"/>
      <c r="J143" s="32" t="n"/>
      <c r="K143" s="32" t="n"/>
      <c r="L143" s="32" t="n"/>
      <c r="M143" s="32" t="n"/>
      <c r="N143" s="32" t="n"/>
      <c r="O143" s="32" t="n"/>
    </row>
    <row r="144">
      <c r="A144" s="32" t="n"/>
      <c r="B144" s="32" t="n"/>
      <c r="C144" s="32" t="n"/>
      <c r="D144" s="32" t="n"/>
      <c r="E144" s="32" t="n"/>
      <c r="F144" s="32" t="n"/>
      <c r="G144" s="32" t="n"/>
      <c r="H144" s="32" t="n"/>
      <c r="I144" s="32" t="n"/>
      <c r="J144" s="32" t="n"/>
      <c r="K144" s="32" t="n"/>
      <c r="L144" s="32" t="n"/>
      <c r="M144" s="32" t="n"/>
      <c r="N144" s="32" t="n"/>
      <c r="O144" s="32" t="n"/>
    </row>
    <row r="145">
      <c r="A145" s="32" t="n"/>
      <c r="B145" s="32" t="n"/>
      <c r="C145" s="32" t="n"/>
      <c r="D145" s="32" t="n"/>
      <c r="E145" s="32" t="n"/>
      <c r="F145" s="32" t="n"/>
      <c r="G145" s="32" t="n"/>
      <c r="H145" s="32" t="n"/>
      <c r="I145" s="32" t="n"/>
      <c r="J145" s="32" t="n"/>
      <c r="K145" s="32" t="n"/>
      <c r="L145" s="32" t="n"/>
      <c r="M145" s="32" t="n"/>
      <c r="N145" s="32" t="n"/>
      <c r="O145" s="32" t="n"/>
    </row>
    <row r="146">
      <c r="A146" s="32" t="n"/>
      <c r="B146" s="32" t="n"/>
      <c r="C146" s="32" t="n"/>
      <c r="D146" s="32" t="n"/>
      <c r="E146" s="32" t="n"/>
      <c r="F146" s="32" t="n"/>
      <c r="G146" s="32" t="n"/>
      <c r="H146" s="32" t="n"/>
      <c r="I146" s="32" t="n"/>
      <c r="J146" s="32" t="n"/>
      <c r="K146" s="32" t="n"/>
      <c r="L146" s="32" t="n"/>
      <c r="M146" s="32" t="n"/>
      <c r="N146" s="32" t="n"/>
      <c r="O146" s="32" t="n"/>
    </row>
    <row r="147">
      <c r="A147" s="32" t="n"/>
      <c r="B147" s="32" t="n"/>
      <c r="C147" s="32" t="n"/>
      <c r="D147" s="32" t="n"/>
      <c r="E147" s="32" t="n"/>
      <c r="F147" s="32" t="n"/>
      <c r="G147" s="32" t="n"/>
      <c r="H147" s="32" t="n"/>
      <c r="I147" s="32" t="n"/>
      <c r="J147" s="32" t="n"/>
      <c r="K147" s="32" t="n"/>
      <c r="L147" s="32" t="n"/>
      <c r="M147" s="32" t="n"/>
      <c r="N147" s="32" t="n"/>
      <c r="O147" s="32" t="n"/>
    </row>
    <row r="148">
      <c r="A148" s="32" t="n"/>
      <c r="B148" s="32" t="n"/>
      <c r="C148" s="32" t="n"/>
      <c r="D148" s="32" t="n"/>
      <c r="E148" s="32" t="n"/>
      <c r="F148" s="32" t="n"/>
      <c r="G148" s="32" t="n"/>
      <c r="H148" s="32" t="n"/>
      <c r="I148" s="32" t="n"/>
      <c r="J148" s="32" t="n"/>
      <c r="K148" s="32" t="n"/>
      <c r="L148" s="32" t="n"/>
      <c r="M148" s="32" t="n"/>
      <c r="N148" s="32" t="n"/>
      <c r="O148" s="32" t="n"/>
    </row>
    <row r="149">
      <c r="A149" s="32" t="n"/>
      <c r="B149" s="32" t="n"/>
      <c r="C149" s="32" t="n"/>
      <c r="D149" s="32" t="n"/>
      <c r="E149" s="32" t="n"/>
      <c r="F149" s="32" t="n"/>
      <c r="G149" s="32" t="n"/>
      <c r="H149" s="32" t="n"/>
      <c r="I149" s="32" t="n"/>
      <c r="J149" s="32" t="n"/>
      <c r="K149" s="32" t="n"/>
      <c r="L149" s="32" t="n"/>
      <c r="M149" s="32" t="n"/>
      <c r="N149" s="32" t="n"/>
      <c r="O149" s="32" t="n"/>
    </row>
    <row r="150">
      <c r="A150" s="32" t="n"/>
      <c r="B150" s="32" t="n"/>
      <c r="C150" s="32" t="n"/>
      <c r="D150" s="32" t="n"/>
      <c r="E150" s="32" t="n"/>
      <c r="F150" s="32" t="n"/>
      <c r="G150" s="32" t="n"/>
      <c r="H150" s="32" t="n"/>
      <c r="I150" s="32" t="n"/>
      <c r="J150" s="32" t="n"/>
      <c r="K150" s="32" t="n"/>
      <c r="L150" s="32" t="n"/>
      <c r="M150" s="32" t="n"/>
      <c r="N150" s="32" t="n"/>
      <c r="O150" s="32" t="n"/>
    </row>
    <row r="151">
      <c r="A151" s="32" t="n"/>
      <c r="B151" s="32" t="n"/>
      <c r="C151" s="32" t="n"/>
      <c r="D151" s="32" t="n"/>
      <c r="E151" s="32" t="n"/>
      <c r="F151" s="32" t="n"/>
      <c r="G151" s="32" t="n"/>
      <c r="H151" s="32" t="n"/>
      <c r="I151" s="32" t="n"/>
      <c r="J151" s="32" t="n"/>
      <c r="K151" s="32" t="n"/>
      <c r="L151" s="32" t="n"/>
      <c r="M151" s="32" t="n"/>
      <c r="N151" s="32" t="n"/>
      <c r="O151" s="32" t="n"/>
    </row>
    <row r="152">
      <c r="A152" s="32" t="n"/>
      <c r="B152" s="32" t="n"/>
      <c r="C152" s="32" t="n"/>
      <c r="D152" s="32" t="n"/>
      <c r="E152" s="32" t="n"/>
      <c r="F152" s="32" t="n"/>
      <c r="G152" s="32" t="n"/>
      <c r="H152" s="32" t="n"/>
      <c r="I152" s="32" t="n"/>
      <c r="J152" s="32" t="n"/>
      <c r="K152" s="32" t="n"/>
      <c r="L152" s="32" t="n"/>
      <c r="M152" s="32" t="n"/>
      <c r="N152" s="32" t="n"/>
      <c r="O152" s="32" t="n"/>
    </row>
    <row r="153">
      <c r="A153" s="32" t="n"/>
      <c r="B153" s="32" t="n"/>
      <c r="C153" s="32" t="n"/>
      <c r="D153" s="32" t="n"/>
      <c r="E153" s="32" t="n"/>
      <c r="F153" s="32" t="n"/>
      <c r="G153" s="32" t="n"/>
      <c r="H153" s="32" t="n"/>
      <c r="I153" s="32" t="n"/>
      <c r="J153" s="32" t="n"/>
      <c r="K153" s="32" t="n"/>
      <c r="L153" s="32" t="n"/>
      <c r="M153" s="32" t="n"/>
      <c r="N153" s="32" t="n"/>
      <c r="O153" s="32" t="n"/>
    </row>
    <row r="154">
      <c r="A154" s="32" t="n"/>
      <c r="B154" s="32" t="n"/>
      <c r="C154" s="32" t="n"/>
      <c r="D154" s="32" t="n"/>
      <c r="E154" s="32" t="n"/>
      <c r="F154" s="32" t="n"/>
      <c r="G154" s="32" t="n"/>
      <c r="H154" s="32" t="n"/>
      <c r="I154" s="32" t="n"/>
      <c r="J154" s="32" t="n"/>
      <c r="K154" s="32" t="n"/>
      <c r="L154" s="32" t="n"/>
      <c r="M154" s="32" t="n"/>
      <c r="N154" s="32" t="n"/>
      <c r="O154" s="32" t="n"/>
    </row>
    <row r="155">
      <c r="A155" s="32" t="n"/>
      <c r="B155" s="32" t="n"/>
      <c r="C155" s="32" t="n"/>
      <c r="D155" s="32" t="n"/>
      <c r="E155" s="32" t="n"/>
      <c r="F155" s="32" t="n"/>
      <c r="G155" s="32" t="n"/>
      <c r="H155" s="32" t="n"/>
      <c r="I155" s="32" t="n"/>
      <c r="J155" s="32" t="n"/>
      <c r="K155" s="32" t="n"/>
      <c r="L155" s="32" t="n"/>
      <c r="M155" s="32" t="n"/>
      <c r="N155" s="32" t="n"/>
      <c r="O155" s="32" t="n"/>
    </row>
    <row r="156">
      <c r="A156" s="32" t="n"/>
      <c r="B156" s="32" t="n"/>
      <c r="C156" s="32" t="n"/>
      <c r="D156" s="32" t="n"/>
      <c r="E156" s="32" t="n"/>
      <c r="F156" s="32" t="n"/>
      <c r="G156" s="32" t="n"/>
      <c r="H156" s="32" t="n"/>
      <c r="I156" s="32" t="n"/>
      <c r="J156" s="32" t="n"/>
      <c r="K156" s="32" t="n"/>
      <c r="L156" s="32" t="n"/>
      <c r="M156" s="32" t="n"/>
      <c r="N156" s="32" t="n"/>
      <c r="O156" s="32" t="n"/>
    </row>
    <row r="157">
      <c r="A157" s="32" t="n"/>
      <c r="B157" s="32" t="n"/>
      <c r="C157" s="32" t="n"/>
      <c r="D157" s="32" t="n"/>
      <c r="E157" s="32" t="n"/>
      <c r="F157" s="32" t="n"/>
      <c r="G157" s="32" t="n"/>
      <c r="H157" s="32" t="n"/>
      <c r="I157" s="32" t="n"/>
      <c r="J157" s="32" t="n"/>
      <c r="K157" s="32" t="n"/>
      <c r="L157" s="32" t="n"/>
      <c r="M157" s="32" t="n"/>
      <c r="N157" s="32" t="n"/>
      <c r="O157" s="32" t="n"/>
    </row>
    <row r="158">
      <c r="A158" s="32" t="n"/>
      <c r="B158" s="32" t="n"/>
      <c r="C158" s="32" t="n"/>
      <c r="D158" s="32" t="n"/>
      <c r="E158" s="32" t="n"/>
      <c r="F158" s="32" t="n"/>
      <c r="G158" s="32" t="n"/>
      <c r="H158" s="32" t="n"/>
      <c r="I158" s="32" t="n"/>
      <c r="J158" s="32" t="n"/>
      <c r="K158" s="32" t="n"/>
      <c r="L158" s="32" t="n"/>
      <c r="M158" s="32" t="n"/>
      <c r="N158" s="32" t="n"/>
      <c r="O158" s="32" t="n"/>
    </row>
    <row r="159">
      <c r="A159" s="32" t="n"/>
      <c r="B159" s="32" t="n"/>
      <c r="C159" s="32" t="n"/>
      <c r="D159" s="32" t="n"/>
      <c r="E159" s="32" t="n"/>
      <c r="F159" s="32" t="n"/>
      <c r="G159" s="32" t="n"/>
      <c r="H159" s="32" t="n"/>
      <c r="I159" s="32" t="n"/>
      <c r="J159" s="32" t="n"/>
      <c r="K159" s="32" t="n"/>
      <c r="L159" s="32" t="n"/>
      <c r="M159" s="32" t="n"/>
      <c r="N159" s="32" t="n"/>
      <c r="O159" s="32" t="n"/>
    </row>
    <row r="160">
      <c r="A160" s="32" t="n"/>
      <c r="B160" s="32" t="n"/>
      <c r="C160" s="32" t="n"/>
      <c r="D160" s="32" t="n"/>
      <c r="E160" s="32" t="n"/>
      <c r="F160" s="32" t="n"/>
      <c r="G160" s="32" t="n"/>
      <c r="H160" s="32" t="n"/>
      <c r="I160" s="32" t="n"/>
      <c r="J160" s="32" t="n"/>
      <c r="K160" s="32" t="n"/>
      <c r="L160" s="32" t="n"/>
      <c r="M160" s="32" t="n"/>
      <c r="N160" s="32" t="n"/>
      <c r="O160" s="32" t="n"/>
    </row>
  </sheetData>
  <mergeCells count="2">
    <mergeCell ref="A1:O1"/>
    <mergeCell ref="A2:O2"/>
  </mergeCells>
  <conditionalFormatting sqref="G5:G160">
    <cfRule type="expression" priority="1" dxfId="0">
      <formula>G5="PASS"</formula>
    </cfRule>
    <cfRule type="expression" priority="2" dxfId="1">
      <formula>G5="FAIL"</formula>
    </cfRule>
    <cfRule type="expression" priority="3" dxfId="2">
      <formula>G5="RETEST REQUIRED"</formula>
    </cfRule>
    <cfRule type="expression" priority="4" dxfId="3">
      <formula>G5="BLOCKED"</formula>
    </cfRule>
    <cfRule type="expression" priority="5" dxfId="4">
      <formula>G5="PENDING"</formula>
    </cfRule>
  </conditionalFormatting>
  <conditionalFormatting sqref="K5:K160">
    <cfRule type="expression" priority="6" dxfId="5">
      <formula>K5="Critical"</formula>
    </cfRule>
    <cfRule type="expression" priority="7" dxfId="3">
      <formula>K5="High"</formula>
    </cfRule>
    <cfRule type="expression" priority="8" dxfId="2">
      <formula>K5="Medium"</formula>
    </cfRule>
  </conditionalFormatting>
  <dataValidations count="4">
    <dataValidation sqref="G5:G160" showDropDown="0" showInputMessage="0" showErrorMessage="0" allowBlank="0" type="list">
      <formula1>"PENDING,PASS,FAIL,N/A,RETEST REQUIRED,BLOCKED"</formula1>
    </dataValidation>
    <dataValidation sqref="K5:K160" showDropDown="0" showInputMessage="0" showErrorMessage="0" allowBlank="0" type="list">
      <formula1>"Low,Medium,High,Critical"</formula1>
    </dataValidation>
    <dataValidation sqref="L5:L160" showDropDown="0" showInputMessage="0" showErrorMessage="0" allowBlank="0" type="list">
      <formula1>"Hardik,Manus,ChatGPT,Hardware,Home Assistant,LocalTuya,Firmware,Other"</formula1>
    </dataValidation>
    <dataValidation sqref="M5:N160" showDropDown="0" showInputMessage="0" showErrorMessage="0" allowBlank="0" type="list">
      <formula1>"Yes,No,N/A"</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O120"/>
  <sheetViews>
    <sheetView workbookViewId="0">
      <pane ySplit="4" topLeftCell="A5" activePane="bottomLeft" state="frozen"/>
      <selection pane="bottomLeft" activeCell="A1" sqref="A1"/>
    </sheetView>
  </sheetViews>
  <sheetFormatPr baseColWidth="8" defaultRowHeight="15"/>
  <cols>
    <col width="9" customWidth="1" min="1" max="1"/>
    <col width="21" customWidth="1" min="2" max="2"/>
    <col width="16" customWidth="1" min="3" max="3"/>
    <col width="30" customWidth="1" min="4" max="4"/>
    <col width="40" customWidth="1" min="5" max="5"/>
    <col width="31" customWidth="1" min="6" max="6"/>
    <col width="9" customWidth="1" min="7" max="7"/>
    <col width="15" customWidth="1" min="8" max="8"/>
    <col width="13" customWidth="1" min="9" max="9"/>
    <col width="14" customWidth="1" min="10" max="10"/>
    <col width="10" customWidth="1" min="11" max="11"/>
    <col width="10" customWidth="1" min="12" max="12"/>
    <col width="11" customWidth="1" min="13" max="13"/>
    <col width="16" customWidth="1" min="14" max="14"/>
    <col width="13" customWidth="1" min="15" max="15"/>
  </cols>
  <sheetData>
    <row r="1" ht="28" customHeight="1">
      <c r="A1" s="50" t="inlineStr">
        <is>
          <t>Wiring and Physical Connection Checks</t>
        </is>
      </c>
      <c r="B1" s="51" t="n"/>
      <c r="C1" s="51" t="n"/>
      <c r="D1" s="51" t="n"/>
      <c r="E1" s="51" t="n"/>
      <c r="F1" s="51" t="n"/>
      <c r="G1" s="51" t="n"/>
      <c r="H1" s="51" t="n"/>
      <c r="I1" s="51" t="n"/>
      <c r="J1" s="51" t="n"/>
      <c r="K1" s="51" t="n"/>
      <c r="L1" s="51" t="n"/>
      <c r="M1" s="51" t="n"/>
      <c r="N1" s="51" t="n"/>
      <c r="O1" s="51" t="n"/>
    </row>
    <row r="2" ht="36" customHeight="1">
      <c r="A2" s="52" t="inlineStr">
        <is>
          <t>Use this before flashing to catch cable, power, I2C, and orientation issues.</t>
        </is>
      </c>
      <c r="B2" s="53" t="n"/>
      <c r="C2" s="53" t="n"/>
      <c r="D2" s="53" t="n"/>
      <c r="E2" s="53" t="n"/>
      <c r="F2" s="53" t="n"/>
      <c r="G2" s="53" t="n"/>
      <c r="H2" s="53" t="n"/>
      <c r="I2" s="53" t="n"/>
      <c r="J2" s="53" t="n"/>
      <c r="K2" s="53" t="n"/>
      <c r="L2" s="53" t="n"/>
      <c r="M2" s="53" t="n"/>
      <c r="N2" s="53" t="n"/>
      <c r="O2" s="53" t="n"/>
    </row>
    <row r="4" ht="36" customHeight="1">
      <c r="A4" s="42" t="inlineStr">
        <is>
          <t>Step ID</t>
        </is>
      </c>
      <c r="B4" s="42" t="inlineStr">
        <is>
          <t>Stage</t>
        </is>
      </c>
      <c r="C4" s="42" t="inlineStr">
        <is>
          <t>Category</t>
        </is>
      </c>
      <c r="D4" s="42" t="inlineStr">
        <is>
          <t>Step / Test</t>
        </is>
      </c>
      <c r="E4" s="42" t="inlineStr">
        <is>
          <t>Command / Action</t>
        </is>
      </c>
      <c r="F4" s="42" t="inlineStr">
        <is>
          <t>Expected Result</t>
        </is>
      </c>
      <c r="G4" s="42" t="inlineStr">
        <is>
          <t>Status</t>
        </is>
      </c>
      <c r="H4" s="42" t="inlineStr">
        <is>
          <t>Actual Result</t>
        </is>
      </c>
      <c r="I4" s="42" t="inlineStr">
        <is>
          <t>Observation</t>
        </is>
      </c>
      <c r="J4" s="42" t="inlineStr">
        <is>
          <t>Evidence Ref</t>
        </is>
      </c>
      <c r="K4" s="42" t="inlineStr">
        <is>
          <t>Severity</t>
        </is>
      </c>
      <c r="L4" s="42" t="inlineStr">
        <is>
          <t>Owner</t>
        </is>
      </c>
      <c r="M4" s="42" t="inlineStr">
        <is>
          <t>Blocking?</t>
        </is>
      </c>
      <c r="N4" s="42" t="inlineStr">
        <is>
          <t>AI Fix Needed?</t>
        </is>
      </c>
      <c r="O4" s="42" t="inlineStr">
        <is>
          <t>Next Action</t>
        </is>
      </c>
    </row>
    <row r="5">
      <c r="A5" s="54" t="inlineStr">
        <is>
          <t>WIRE-01</t>
        </is>
      </c>
      <c r="B5" s="44" t="inlineStr">
        <is>
          <t>Wiring / Pin Checks</t>
        </is>
      </c>
      <c r="C5" s="44" t="inlineStr">
        <is>
          <t>Door Wiring</t>
        </is>
      </c>
      <c r="D5" s="44" t="inlineStr">
        <is>
          <t>Door-side USB/serial appears</t>
        </is>
      </c>
      <c r="E5" s="44" t="inlineStr">
        <is>
          <t>Connect ELECROW board via USB-C data cable</t>
        </is>
      </c>
      <c r="F5" s="44" t="inlineStr">
        <is>
          <t>Serial port appears</t>
        </is>
      </c>
      <c r="G5" s="55" t="inlineStr">
        <is>
          <t>PENDING</t>
        </is>
      </c>
      <c r="H5" s="44" t="str"/>
      <c r="I5" s="44" t="str"/>
      <c r="J5" s="44" t="str"/>
      <c r="K5" s="56" t="inlineStr">
        <is>
          <t>High</t>
        </is>
      </c>
      <c r="L5" s="44" t="inlineStr">
        <is>
          <t>Hardware</t>
        </is>
      </c>
      <c r="M5" s="44" t="inlineStr">
        <is>
          <t>Yes</t>
        </is>
      </c>
      <c r="N5" s="44" t="inlineStr">
        <is>
          <t>No</t>
        </is>
      </c>
      <c r="O5" s="44" t="str"/>
    </row>
    <row r="6">
      <c r="A6" s="57" t="inlineStr">
        <is>
          <t>WIRE-02</t>
        </is>
      </c>
      <c r="B6" s="43" t="inlineStr">
        <is>
          <t>Wiring / Pin Checks</t>
        </is>
      </c>
      <c r="C6" s="43" t="inlineStr">
        <is>
          <t>Door Wiring</t>
        </is>
      </c>
      <c r="D6" s="43" t="inlineStr">
        <is>
          <t>Door-side sensors checked</t>
        </is>
      </c>
      <c r="E6" s="43" t="inlineStr">
        <is>
          <t>Confirm TSL2591/SHT45 presence if board revision includes them</t>
        </is>
      </c>
      <c r="F6" s="43" t="inlineStr">
        <is>
          <t>Sensor assumptions documented</t>
        </is>
      </c>
      <c r="G6" s="55" t="inlineStr">
        <is>
          <t>PENDING</t>
        </is>
      </c>
      <c r="H6" s="43" t="str"/>
      <c r="I6" s="43" t="str"/>
      <c r="J6" s="43" t="str"/>
      <c r="K6" s="43" t="inlineStr">
        <is>
          <t>Medium</t>
        </is>
      </c>
      <c r="L6" s="43" t="inlineStr">
        <is>
          <t>Hardware</t>
        </is>
      </c>
      <c r="M6" s="43" t="inlineStr">
        <is>
          <t>No</t>
        </is>
      </c>
      <c r="N6" s="43" t="inlineStr">
        <is>
          <t>No</t>
        </is>
      </c>
      <c r="O6" s="43" t="str"/>
    </row>
    <row r="7">
      <c r="A7" s="54" t="inlineStr">
        <is>
          <t>WIRE-03</t>
        </is>
      </c>
      <c r="B7" s="44" t="inlineStr">
        <is>
          <t>Wiring / Pin Checks</t>
        </is>
      </c>
      <c r="C7" s="44" t="inlineStr">
        <is>
          <t>Door Wiring</t>
        </is>
      </c>
      <c r="D7" s="44" t="inlineStr">
        <is>
          <t>LED ring orientation pending</t>
        </is>
      </c>
      <c r="E7" s="44" t="inlineStr">
        <is>
          <t>Note LED 0 orientation and color order after test</t>
        </is>
      </c>
      <c r="F7" s="44" t="inlineStr">
        <is>
          <t>Known after physical test</t>
        </is>
      </c>
      <c r="G7" s="55" t="inlineStr">
        <is>
          <t>PENDING</t>
        </is>
      </c>
      <c r="H7" s="44" t="str"/>
      <c r="I7" s="44" t="str"/>
      <c r="J7" s="44" t="str"/>
      <c r="K7" s="44" t="inlineStr">
        <is>
          <t>Medium</t>
        </is>
      </c>
      <c r="L7" s="44" t="inlineStr">
        <is>
          <t>Hardware</t>
        </is>
      </c>
      <c r="M7" s="44" t="inlineStr">
        <is>
          <t>No</t>
        </is>
      </c>
      <c r="N7" s="44" t="inlineStr">
        <is>
          <t>No</t>
        </is>
      </c>
      <c r="O7" s="44" t="str"/>
    </row>
    <row r="8">
      <c r="A8" s="57" t="inlineStr">
        <is>
          <t>WIRE-04</t>
        </is>
      </c>
      <c r="B8" s="43" t="inlineStr">
        <is>
          <t>Wiring / Pin Checks</t>
        </is>
      </c>
      <c r="C8" s="43" t="inlineStr">
        <is>
          <t>Bedside Wiring</t>
        </is>
      </c>
      <c r="D8" s="43" t="inlineStr">
        <is>
          <t>APDS-9960 wiring checked</t>
        </is>
      </c>
      <c r="E8" s="43" t="inlineStr">
        <is>
          <t>Confirm VCC/GND/SDA/SCL or STEMMA connection</t>
        </is>
      </c>
      <c r="F8" s="43" t="inlineStr">
        <is>
          <t>APDS wiring correct</t>
        </is>
      </c>
      <c r="G8" s="55" t="inlineStr">
        <is>
          <t>PENDING</t>
        </is>
      </c>
      <c r="H8" s="43" t="str"/>
      <c r="I8" s="43" t="str"/>
      <c r="J8" s="43" t="str"/>
      <c r="K8" s="59" t="inlineStr">
        <is>
          <t>Critical</t>
        </is>
      </c>
      <c r="L8" s="43" t="inlineStr">
        <is>
          <t>Hardware</t>
        </is>
      </c>
      <c r="M8" s="43" t="inlineStr">
        <is>
          <t>Yes</t>
        </is>
      </c>
      <c r="N8" s="43" t="inlineStr">
        <is>
          <t>No</t>
        </is>
      </c>
      <c r="O8" s="43" t="str"/>
    </row>
    <row r="9">
      <c r="A9" s="54" t="inlineStr">
        <is>
          <t>WIRE-05</t>
        </is>
      </c>
      <c r="B9" s="44" t="inlineStr">
        <is>
          <t>Wiring / Pin Checks</t>
        </is>
      </c>
      <c r="C9" s="44" t="inlineStr">
        <is>
          <t>Bedside Wiring</t>
        </is>
      </c>
      <c r="D9" s="44" t="inlineStr">
        <is>
          <t>ESP32-C6 USB/serial appears</t>
        </is>
      </c>
      <c r="E9" s="44" t="inlineStr">
        <is>
          <t>Connect Feather via USB data cable</t>
        </is>
      </c>
      <c r="F9" s="44" t="inlineStr">
        <is>
          <t>Serial port appears</t>
        </is>
      </c>
      <c r="G9" s="55" t="inlineStr">
        <is>
          <t>PENDING</t>
        </is>
      </c>
      <c r="H9" s="44" t="str"/>
      <c r="I9" s="44" t="str"/>
      <c r="J9" s="44" t="str"/>
      <c r="K9" s="56" t="inlineStr">
        <is>
          <t>High</t>
        </is>
      </c>
      <c r="L9" s="44" t="inlineStr">
        <is>
          <t>Hardware</t>
        </is>
      </c>
      <c r="M9" s="44" t="inlineStr">
        <is>
          <t>Yes</t>
        </is>
      </c>
      <c r="N9" s="44" t="inlineStr">
        <is>
          <t>No</t>
        </is>
      </c>
      <c r="O9" s="44" t="str"/>
    </row>
    <row r="10">
      <c r="A10" s="32" t="n"/>
      <c r="B10" s="32" t="n"/>
      <c r="C10" s="32" t="n"/>
      <c r="D10" s="32" t="n"/>
      <c r="E10" s="32" t="n"/>
      <c r="F10" s="32" t="n"/>
      <c r="G10" s="32" t="n"/>
      <c r="H10" s="32" t="n"/>
      <c r="I10" s="32" t="n"/>
      <c r="J10" s="32" t="n"/>
      <c r="K10" s="32" t="n"/>
      <c r="L10" s="32" t="n"/>
      <c r="M10" s="32" t="n"/>
      <c r="N10" s="32" t="n"/>
      <c r="O10" s="32" t="n"/>
    </row>
    <row r="11">
      <c r="A11" s="32" t="n"/>
      <c r="B11" s="32" t="n"/>
      <c r="C11" s="32" t="n"/>
      <c r="D11" s="32" t="n"/>
      <c r="E11" s="32" t="n"/>
      <c r="F11" s="32" t="n"/>
      <c r="G11" s="32" t="n"/>
      <c r="H11" s="32" t="n"/>
      <c r="I11" s="32" t="n"/>
      <c r="J11" s="32" t="n"/>
      <c r="K11" s="32" t="n"/>
      <c r="L11" s="32" t="n"/>
      <c r="M11" s="32" t="n"/>
      <c r="N11" s="32" t="n"/>
      <c r="O11" s="32" t="n"/>
    </row>
    <row r="12">
      <c r="A12" s="32" t="n"/>
      <c r="B12" s="32" t="n"/>
      <c r="C12" s="32" t="n"/>
      <c r="D12" s="32" t="n"/>
      <c r="E12" s="32" t="n"/>
      <c r="F12" s="32" t="n"/>
      <c r="G12" s="32" t="n"/>
      <c r="H12" s="32" t="n"/>
      <c r="I12" s="32" t="n"/>
      <c r="J12" s="32" t="n"/>
      <c r="K12" s="32" t="n"/>
      <c r="L12" s="32" t="n"/>
      <c r="M12" s="32" t="n"/>
      <c r="N12" s="32" t="n"/>
      <c r="O12" s="32" t="n"/>
    </row>
    <row r="13">
      <c r="A13" s="32" t="n"/>
      <c r="B13" s="32" t="n"/>
      <c r="C13" s="32" t="n"/>
      <c r="D13" s="32" t="n"/>
      <c r="E13" s="32" t="n"/>
      <c r="F13" s="32" t="n"/>
      <c r="G13" s="32" t="n"/>
      <c r="H13" s="32" t="n"/>
      <c r="I13" s="32" t="n"/>
      <c r="J13" s="32" t="n"/>
      <c r="K13" s="32" t="n"/>
      <c r="L13" s="32" t="n"/>
      <c r="M13" s="32" t="n"/>
      <c r="N13" s="32" t="n"/>
      <c r="O13" s="32" t="n"/>
    </row>
    <row r="14">
      <c r="A14" s="32" t="n"/>
      <c r="B14" s="32" t="n"/>
      <c r="C14" s="32" t="n"/>
      <c r="D14" s="32" t="n"/>
      <c r="E14" s="32" t="n"/>
      <c r="F14" s="32" t="n"/>
      <c r="G14" s="32" t="n"/>
      <c r="H14" s="32" t="n"/>
      <c r="I14" s="32" t="n"/>
      <c r="J14" s="32" t="n"/>
      <c r="K14" s="32" t="n"/>
      <c r="L14" s="32" t="n"/>
      <c r="M14" s="32" t="n"/>
      <c r="N14" s="32" t="n"/>
      <c r="O14" s="32" t="n"/>
    </row>
    <row r="15">
      <c r="A15" s="32" t="n"/>
      <c r="B15" s="32" t="n"/>
      <c r="C15" s="32" t="n"/>
      <c r="D15" s="32" t="n"/>
      <c r="E15" s="32" t="n"/>
      <c r="F15" s="32" t="n"/>
      <c r="G15" s="32" t="n"/>
      <c r="H15" s="32" t="n"/>
      <c r="I15" s="32" t="n"/>
      <c r="J15" s="32" t="n"/>
      <c r="K15" s="32" t="n"/>
      <c r="L15" s="32" t="n"/>
      <c r="M15" s="32" t="n"/>
      <c r="N15" s="32" t="n"/>
      <c r="O15" s="32" t="n"/>
    </row>
    <row r="16">
      <c r="A16" s="32" t="n"/>
      <c r="B16" s="32" t="n"/>
      <c r="C16" s="32" t="n"/>
      <c r="D16" s="32" t="n"/>
      <c r="E16" s="32" t="n"/>
      <c r="F16" s="32" t="n"/>
      <c r="G16" s="32" t="n"/>
      <c r="H16" s="32" t="n"/>
      <c r="I16" s="32" t="n"/>
      <c r="J16" s="32" t="n"/>
      <c r="K16" s="32" t="n"/>
      <c r="L16" s="32" t="n"/>
      <c r="M16" s="32" t="n"/>
      <c r="N16" s="32" t="n"/>
      <c r="O16" s="32" t="n"/>
    </row>
    <row r="17">
      <c r="A17" s="32" t="n"/>
      <c r="B17" s="32" t="n"/>
      <c r="C17" s="32" t="n"/>
      <c r="D17" s="32" t="n"/>
      <c r="E17" s="32" t="n"/>
      <c r="F17" s="32" t="n"/>
      <c r="G17" s="32" t="n"/>
      <c r="H17" s="32" t="n"/>
      <c r="I17" s="32" t="n"/>
      <c r="J17" s="32" t="n"/>
      <c r="K17" s="32" t="n"/>
      <c r="L17" s="32" t="n"/>
      <c r="M17" s="32" t="n"/>
      <c r="N17" s="32" t="n"/>
      <c r="O17" s="32" t="n"/>
    </row>
    <row r="18">
      <c r="A18" s="32" t="n"/>
      <c r="B18" s="32" t="n"/>
      <c r="C18" s="32" t="n"/>
      <c r="D18" s="32" t="n"/>
      <c r="E18" s="32" t="n"/>
      <c r="F18" s="32" t="n"/>
      <c r="G18" s="32" t="n"/>
      <c r="H18" s="32" t="n"/>
      <c r="I18" s="32" t="n"/>
      <c r="J18" s="32" t="n"/>
      <c r="K18" s="32" t="n"/>
      <c r="L18" s="32" t="n"/>
      <c r="M18" s="32" t="n"/>
      <c r="N18" s="32" t="n"/>
      <c r="O18" s="32" t="n"/>
    </row>
    <row r="19">
      <c r="A19" s="32" t="n"/>
      <c r="B19" s="32" t="n"/>
      <c r="C19" s="32" t="n"/>
      <c r="D19" s="32" t="n"/>
      <c r="E19" s="32" t="n"/>
      <c r="F19" s="32" t="n"/>
      <c r="G19" s="32" t="n"/>
      <c r="H19" s="32" t="n"/>
      <c r="I19" s="32" t="n"/>
      <c r="J19" s="32" t="n"/>
      <c r="K19" s="32" t="n"/>
      <c r="L19" s="32" t="n"/>
      <c r="M19" s="32" t="n"/>
      <c r="N19" s="32" t="n"/>
      <c r="O19" s="32" t="n"/>
    </row>
    <row r="20">
      <c r="A20" s="32" t="n"/>
      <c r="B20" s="32" t="n"/>
      <c r="C20" s="32" t="n"/>
      <c r="D20" s="32" t="n"/>
      <c r="E20" s="32" t="n"/>
      <c r="F20" s="32" t="n"/>
      <c r="G20" s="32" t="n"/>
      <c r="H20" s="32" t="n"/>
      <c r="I20" s="32" t="n"/>
      <c r="J20" s="32" t="n"/>
      <c r="K20" s="32" t="n"/>
      <c r="L20" s="32" t="n"/>
      <c r="M20" s="32" t="n"/>
      <c r="N20" s="32" t="n"/>
      <c r="O20" s="32" t="n"/>
    </row>
    <row r="21">
      <c r="A21" s="32" t="n"/>
      <c r="B21" s="32" t="n"/>
      <c r="C21" s="32" t="n"/>
      <c r="D21" s="32" t="n"/>
      <c r="E21" s="32" t="n"/>
      <c r="F21" s="32" t="n"/>
      <c r="G21" s="32" t="n"/>
      <c r="H21" s="32" t="n"/>
      <c r="I21" s="32" t="n"/>
      <c r="J21" s="32" t="n"/>
      <c r="K21" s="32" t="n"/>
      <c r="L21" s="32" t="n"/>
      <c r="M21" s="32" t="n"/>
      <c r="N21" s="32" t="n"/>
      <c r="O21" s="32" t="n"/>
    </row>
    <row r="22">
      <c r="A22" s="32" t="n"/>
      <c r="B22" s="32" t="n"/>
      <c r="C22" s="32" t="n"/>
      <c r="D22" s="32" t="n"/>
      <c r="E22" s="32" t="n"/>
      <c r="F22" s="32" t="n"/>
      <c r="G22" s="32" t="n"/>
      <c r="H22" s="32" t="n"/>
      <c r="I22" s="32" t="n"/>
      <c r="J22" s="32" t="n"/>
      <c r="K22" s="32" t="n"/>
      <c r="L22" s="32" t="n"/>
      <c r="M22" s="32" t="n"/>
      <c r="N22" s="32" t="n"/>
      <c r="O22" s="32" t="n"/>
    </row>
    <row r="23">
      <c r="A23" s="32" t="n"/>
      <c r="B23" s="32" t="n"/>
      <c r="C23" s="32" t="n"/>
      <c r="D23" s="32" t="n"/>
      <c r="E23" s="32" t="n"/>
      <c r="F23" s="32" t="n"/>
      <c r="G23" s="32" t="n"/>
      <c r="H23" s="32" t="n"/>
      <c r="I23" s="32" t="n"/>
      <c r="J23" s="32" t="n"/>
      <c r="K23" s="32" t="n"/>
      <c r="L23" s="32" t="n"/>
      <c r="M23" s="32" t="n"/>
      <c r="N23" s="32" t="n"/>
      <c r="O23" s="32" t="n"/>
    </row>
    <row r="24">
      <c r="A24" s="32" t="n"/>
      <c r="B24" s="32" t="n"/>
      <c r="C24" s="32" t="n"/>
      <c r="D24" s="32" t="n"/>
      <c r="E24" s="32" t="n"/>
      <c r="F24" s="32" t="n"/>
      <c r="G24" s="32" t="n"/>
      <c r="H24" s="32" t="n"/>
      <c r="I24" s="32" t="n"/>
      <c r="J24" s="32" t="n"/>
      <c r="K24" s="32" t="n"/>
      <c r="L24" s="32" t="n"/>
      <c r="M24" s="32" t="n"/>
      <c r="N24" s="32" t="n"/>
      <c r="O24" s="32" t="n"/>
    </row>
    <row r="25">
      <c r="A25" s="32" t="n"/>
      <c r="B25" s="32" t="n"/>
      <c r="C25" s="32" t="n"/>
      <c r="D25" s="32" t="n"/>
      <c r="E25" s="32" t="n"/>
      <c r="F25" s="32" t="n"/>
      <c r="G25" s="32" t="n"/>
      <c r="H25" s="32" t="n"/>
      <c r="I25" s="32" t="n"/>
      <c r="J25" s="32" t="n"/>
      <c r="K25" s="32" t="n"/>
      <c r="L25" s="32" t="n"/>
      <c r="M25" s="32" t="n"/>
      <c r="N25" s="32" t="n"/>
      <c r="O25" s="32" t="n"/>
    </row>
    <row r="26">
      <c r="A26" s="32" t="n"/>
      <c r="B26" s="32" t="n"/>
      <c r="C26" s="32" t="n"/>
      <c r="D26" s="32" t="n"/>
      <c r="E26" s="32" t="n"/>
      <c r="F26" s="32" t="n"/>
      <c r="G26" s="32" t="n"/>
      <c r="H26" s="32" t="n"/>
      <c r="I26" s="32" t="n"/>
      <c r="J26" s="32" t="n"/>
      <c r="K26" s="32" t="n"/>
      <c r="L26" s="32" t="n"/>
      <c r="M26" s="32" t="n"/>
      <c r="N26" s="32" t="n"/>
      <c r="O26" s="32" t="n"/>
    </row>
    <row r="27">
      <c r="A27" s="32" t="n"/>
      <c r="B27" s="32" t="n"/>
      <c r="C27" s="32" t="n"/>
      <c r="D27" s="32" t="n"/>
      <c r="E27" s="32" t="n"/>
      <c r="F27" s="32" t="n"/>
      <c r="G27" s="32" t="n"/>
      <c r="H27" s="32" t="n"/>
      <c r="I27" s="32" t="n"/>
      <c r="J27" s="32" t="n"/>
      <c r="K27" s="32" t="n"/>
      <c r="L27" s="32" t="n"/>
      <c r="M27" s="32" t="n"/>
      <c r="N27" s="32" t="n"/>
      <c r="O27" s="32" t="n"/>
    </row>
    <row r="28">
      <c r="A28" s="32" t="n"/>
      <c r="B28" s="32" t="n"/>
      <c r="C28" s="32" t="n"/>
      <c r="D28" s="32" t="n"/>
      <c r="E28" s="32" t="n"/>
      <c r="F28" s="32" t="n"/>
      <c r="G28" s="32" t="n"/>
      <c r="H28" s="32" t="n"/>
      <c r="I28" s="32" t="n"/>
      <c r="J28" s="32" t="n"/>
      <c r="K28" s="32" t="n"/>
      <c r="L28" s="32" t="n"/>
      <c r="M28" s="32" t="n"/>
      <c r="N28" s="32" t="n"/>
      <c r="O28" s="32" t="n"/>
    </row>
    <row r="29">
      <c r="A29" s="32" t="n"/>
      <c r="B29" s="32" t="n"/>
      <c r="C29" s="32" t="n"/>
      <c r="D29" s="32" t="n"/>
      <c r="E29" s="32" t="n"/>
      <c r="F29" s="32" t="n"/>
      <c r="G29" s="32" t="n"/>
      <c r="H29" s="32" t="n"/>
      <c r="I29" s="32" t="n"/>
      <c r="J29" s="32" t="n"/>
      <c r="K29" s="32" t="n"/>
      <c r="L29" s="32" t="n"/>
      <c r="M29" s="32" t="n"/>
      <c r="N29" s="32" t="n"/>
      <c r="O29" s="32" t="n"/>
    </row>
    <row r="30">
      <c r="A30" s="32" t="n"/>
      <c r="B30" s="32" t="n"/>
      <c r="C30" s="32" t="n"/>
      <c r="D30" s="32" t="n"/>
      <c r="E30" s="32" t="n"/>
      <c r="F30" s="32" t="n"/>
      <c r="G30" s="32" t="n"/>
      <c r="H30" s="32" t="n"/>
      <c r="I30" s="32" t="n"/>
      <c r="J30" s="32" t="n"/>
      <c r="K30" s="32" t="n"/>
      <c r="L30" s="32" t="n"/>
      <c r="M30" s="32" t="n"/>
      <c r="N30" s="32" t="n"/>
      <c r="O30" s="32" t="n"/>
    </row>
    <row r="31">
      <c r="A31" s="32" t="n"/>
      <c r="B31" s="32" t="n"/>
      <c r="C31" s="32" t="n"/>
      <c r="D31" s="32" t="n"/>
      <c r="E31" s="32" t="n"/>
      <c r="F31" s="32" t="n"/>
      <c r="G31" s="32" t="n"/>
      <c r="H31" s="32" t="n"/>
      <c r="I31" s="32" t="n"/>
      <c r="J31" s="32" t="n"/>
      <c r="K31" s="32" t="n"/>
      <c r="L31" s="32" t="n"/>
      <c r="M31" s="32" t="n"/>
      <c r="N31" s="32" t="n"/>
      <c r="O31" s="32" t="n"/>
    </row>
    <row r="32">
      <c r="A32" s="32" t="n"/>
      <c r="B32" s="32" t="n"/>
      <c r="C32" s="32" t="n"/>
      <c r="D32" s="32" t="n"/>
      <c r="E32" s="32" t="n"/>
      <c r="F32" s="32" t="n"/>
      <c r="G32" s="32" t="n"/>
      <c r="H32" s="32" t="n"/>
      <c r="I32" s="32" t="n"/>
      <c r="J32" s="32" t="n"/>
      <c r="K32" s="32" t="n"/>
      <c r="L32" s="32" t="n"/>
      <c r="M32" s="32" t="n"/>
      <c r="N32" s="32" t="n"/>
      <c r="O32" s="32" t="n"/>
    </row>
    <row r="33">
      <c r="A33" s="32" t="n"/>
      <c r="B33" s="32" t="n"/>
      <c r="C33" s="32" t="n"/>
      <c r="D33" s="32" t="n"/>
      <c r="E33" s="32" t="n"/>
      <c r="F33" s="32" t="n"/>
      <c r="G33" s="32" t="n"/>
      <c r="H33" s="32" t="n"/>
      <c r="I33" s="32" t="n"/>
      <c r="J33" s="32" t="n"/>
      <c r="K33" s="32" t="n"/>
      <c r="L33" s="32" t="n"/>
      <c r="M33" s="32" t="n"/>
      <c r="N33" s="32" t="n"/>
      <c r="O33" s="32" t="n"/>
    </row>
    <row r="34">
      <c r="A34" s="32" t="n"/>
      <c r="B34" s="32" t="n"/>
      <c r="C34" s="32" t="n"/>
      <c r="D34" s="32" t="n"/>
      <c r="E34" s="32" t="n"/>
      <c r="F34" s="32" t="n"/>
      <c r="G34" s="32" t="n"/>
      <c r="H34" s="32" t="n"/>
      <c r="I34" s="32" t="n"/>
      <c r="J34" s="32" t="n"/>
      <c r="K34" s="32" t="n"/>
      <c r="L34" s="32" t="n"/>
      <c r="M34" s="32" t="n"/>
      <c r="N34" s="32" t="n"/>
      <c r="O34" s="32" t="n"/>
    </row>
    <row r="35">
      <c r="A35" s="32" t="n"/>
      <c r="B35" s="32" t="n"/>
      <c r="C35" s="32" t="n"/>
      <c r="D35" s="32" t="n"/>
      <c r="E35" s="32" t="n"/>
      <c r="F35" s="32" t="n"/>
      <c r="G35" s="32" t="n"/>
      <c r="H35" s="32" t="n"/>
      <c r="I35" s="32" t="n"/>
      <c r="J35" s="32" t="n"/>
      <c r="K35" s="32" t="n"/>
      <c r="L35" s="32" t="n"/>
      <c r="M35" s="32" t="n"/>
      <c r="N35" s="32" t="n"/>
      <c r="O35" s="32" t="n"/>
    </row>
    <row r="36">
      <c r="A36" s="32" t="n"/>
      <c r="B36" s="32" t="n"/>
      <c r="C36" s="32" t="n"/>
      <c r="D36" s="32" t="n"/>
      <c r="E36" s="32" t="n"/>
      <c r="F36" s="32" t="n"/>
      <c r="G36" s="32" t="n"/>
      <c r="H36" s="32" t="n"/>
      <c r="I36" s="32" t="n"/>
      <c r="J36" s="32" t="n"/>
      <c r="K36" s="32" t="n"/>
      <c r="L36" s="32" t="n"/>
      <c r="M36" s="32" t="n"/>
      <c r="N36" s="32" t="n"/>
      <c r="O36" s="32" t="n"/>
    </row>
    <row r="37">
      <c r="A37" s="32" t="n"/>
      <c r="B37" s="32" t="n"/>
      <c r="C37" s="32" t="n"/>
      <c r="D37" s="32" t="n"/>
      <c r="E37" s="32" t="n"/>
      <c r="F37" s="32" t="n"/>
      <c r="G37" s="32" t="n"/>
      <c r="H37" s="32" t="n"/>
      <c r="I37" s="32" t="n"/>
      <c r="J37" s="32" t="n"/>
      <c r="K37" s="32" t="n"/>
      <c r="L37" s="32" t="n"/>
      <c r="M37" s="32" t="n"/>
      <c r="N37" s="32" t="n"/>
      <c r="O37" s="32" t="n"/>
    </row>
    <row r="38">
      <c r="A38" s="32" t="n"/>
      <c r="B38" s="32" t="n"/>
      <c r="C38" s="32" t="n"/>
      <c r="D38" s="32" t="n"/>
      <c r="E38" s="32" t="n"/>
      <c r="F38" s="32" t="n"/>
      <c r="G38" s="32" t="n"/>
      <c r="H38" s="32" t="n"/>
      <c r="I38" s="32" t="n"/>
      <c r="J38" s="32" t="n"/>
      <c r="K38" s="32" t="n"/>
      <c r="L38" s="32" t="n"/>
      <c r="M38" s="32" t="n"/>
      <c r="N38" s="32" t="n"/>
      <c r="O38" s="32" t="n"/>
    </row>
    <row r="39">
      <c r="A39" s="32" t="n"/>
      <c r="B39" s="32" t="n"/>
      <c r="C39" s="32" t="n"/>
      <c r="D39" s="32" t="n"/>
      <c r="E39" s="32" t="n"/>
      <c r="F39" s="32" t="n"/>
      <c r="G39" s="32" t="n"/>
      <c r="H39" s="32" t="n"/>
      <c r="I39" s="32" t="n"/>
      <c r="J39" s="32" t="n"/>
      <c r="K39" s="32" t="n"/>
      <c r="L39" s="32" t="n"/>
      <c r="M39" s="32" t="n"/>
      <c r="N39" s="32" t="n"/>
      <c r="O39" s="32" t="n"/>
    </row>
    <row r="40">
      <c r="A40" s="32" t="n"/>
      <c r="B40" s="32" t="n"/>
      <c r="C40" s="32" t="n"/>
      <c r="D40" s="32" t="n"/>
      <c r="E40" s="32" t="n"/>
      <c r="F40" s="32" t="n"/>
      <c r="G40" s="32" t="n"/>
      <c r="H40" s="32" t="n"/>
      <c r="I40" s="32" t="n"/>
      <c r="J40" s="32" t="n"/>
      <c r="K40" s="32" t="n"/>
      <c r="L40" s="32" t="n"/>
      <c r="M40" s="32" t="n"/>
      <c r="N40" s="32" t="n"/>
      <c r="O40" s="32" t="n"/>
    </row>
    <row r="41">
      <c r="A41" s="32" t="n"/>
      <c r="B41" s="32" t="n"/>
      <c r="C41" s="32" t="n"/>
      <c r="D41" s="32" t="n"/>
      <c r="E41" s="32" t="n"/>
      <c r="F41" s="32" t="n"/>
      <c r="G41" s="32" t="n"/>
      <c r="H41" s="32" t="n"/>
      <c r="I41" s="32" t="n"/>
      <c r="J41" s="32" t="n"/>
      <c r="K41" s="32" t="n"/>
      <c r="L41" s="32" t="n"/>
      <c r="M41" s="32" t="n"/>
      <c r="N41" s="32" t="n"/>
      <c r="O41" s="32" t="n"/>
    </row>
    <row r="42">
      <c r="A42" s="32" t="n"/>
      <c r="B42" s="32" t="n"/>
      <c r="C42" s="32" t="n"/>
      <c r="D42" s="32" t="n"/>
      <c r="E42" s="32" t="n"/>
      <c r="F42" s="32" t="n"/>
      <c r="G42" s="32" t="n"/>
      <c r="H42" s="32" t="n"/>
      <c r="I42" s="32" t="n"/>
      <c r="J42" s="32" t="n"/>
      <c r="K42" s="32" t="n"/>
      <c r="L42" s="32" t="n"/>
      <c r="M42" s="32" t="n"/>
      <c r="N42" s="32" t="n"/>
      <c r="O42" s="32" t="n"/>
    </row>
    <row r="43">
      <c r="A43" s="32" t="n"/>
      <c r="B43" s="32" t="n"/>
      <c r="C43" s="32" t="n"/>
      <c r="D43" s="32" t="n"/>
      <c r="E43" s="32" t="n"/>
      <c r="F43" s="32" t="n"/>
      <c r="G43" s="32" t="n"/>
      <c r="H43" s="32" t="n"/>
      <c r="I43" s="32" t="n"/>
      <c r="J43" s="32" t="n"/>
      <c r="K43" s="32" t="n"/>
      <c r="L43" s="32" t="n"/>
      <c r="M43" s="32" t="n"/>
      <c r="N43" s="32" t="n"/>
      <c r="O43" s="32" t="n"/>
    </row>
    <row r="44">
      <c r="A44" s="32" t="n"/>
      <c r="B44" s="32" t="n"/>
      <c r="C44" s="32" t="n"/>
      <c r="D44" s="32" t="n"/>
      <c r="E44" s="32" t="n"/>
      <c r="F44" s="32" t="n"/>
      <c r="G44" s="32" t="n"/>
      <c r="H44" s="32" t="n"/>
      <c r="I44" s="32" t="n"/>
      <c r="J44" s="32" t="n"/>
      <c r="K44" s="32" t="n"/>
      <c r="L44" s="32" t="n"/>
      <c r="M44" s="32" t="n"/>
      <c r="N44" s="32" t="n"/>
      <c r="O44" s="32" t="n"/>
    </row>
    <row r="45">
      <c r="A45" s="32" t="n"/>
      <c r="B45" s="32" t="n"/>
      <c r="C45" s="32" t="n"/>
      <c r="D45" s="32" t="n"/>
      <c r="E45" s="32" t="n"/>
      <c r="F45" s="32" t="n"/>
      <c r="G45" s="32" t="n"/>
      <c r="H45" s="32" t="n"/>
      <c r="I45" s="32" t="n"/>
      <c r="J45" s="32" t="n"/>
      <c r="K45" s="32" t="n"/>
      <c r="L45" s="32" t="n"/>
      <c r="M45" s="32" t="n"/>
      <c r="N45" s="32" t="n"/>
      <c r="O45" s="32" t="n"/>
    </row>
    <row r="46">
      <c r="A46" s="32" t="n"/>
      <c r="B46" s="32" t="n"/>
      <c r="C46" s="32" t="n"/>
      <c r="D46" s="32" t="n"/>
      <c r="E46" s="32" t="n"/>
      <c r="F46" s="32" t="n"/>
      <c r="G46" s="32" t="n"/>
      <c r="H46" s="32" t="n"/>
      <c r="I46" s="32" t="n"/>
      <c r="J46" s="32" t="n"/>
      <c r="K46" s="32" t="n"/>
      <c r="L46" s="32" t="n"/>
      <c r="M46" s="32" t="n"/>
      <c r="N46" s="32" t="n"/>
      <c r="O46" s="32" t="n"/>
    </row>
    <row r="47">
      <c r="A47" s="32" t="n"/>
      <c r="B47" s="32" t="n"/>
      <c r="C47" s="32" t="n"/>
      <c r="D47" s="32" t="n"/>
      <c r="E47" s="32" t="n"/>
      <c r="F47" s="32" t="n"/>
      <c r="G47" s="32" t="n"/>
      <c r="H47" s="32" t="n"/>
      <c r="I47" s="32" t="n"/>
      <c r="J47" s="32" t="n"/>
      <c r="K47" s="32" t="n"/>
      <c r="L47" s="32" t="n"/>
      <c r="M47" s="32" t="n"/>
      <c r="N47" s="32" t="n"/>
      <c r="O47" s="32" t="n"/>
    </row>
    <row r="48">
      <c r="A48" s="32" t="n"/>
      <c r="B48" s="32" t="n"/>
      <c r="C48" s="32" t="n"/>
      <c r="D48" s="32" t="n"/>
      <c r="E48" s="32" t="n"/>
      <c r="F48" s="32" t="n"/>
      <c r="G48" s="32" t="n"/>
      <c r="H48" s="32" t="n"/>
      <c r="I48" s="32" t="n"/>
      <c r="J48" s="32" t="n"/>
      <c r="K48" s="32" t="n"/>
      <c r="L48" s="32" t="n"/>
      <c r="M48" s="32" t="n"/>
      <c r="N48" s="32" t="n"/>
      <c r="O48" s="32" t="n"/>
    </row>
    <row r="49">
      <c r="A49" s="32" t="n"/>
      <c r="B49" s="32" t="n"/>
      <c r="C49" s="32" t="n"/>
      <c r="D49" s="32" t="n"/>
      <c r="E49" s="32" t="n"/>
      <c r="F49" s="32" t="n"/>
      <c r="G49" s="32" t="n"/>
      <c r="H49" s="32" t="n"/>
      <c r="I49" s="32" t="n"/>
      <c r="J49" s="32" t="n"/>
      <c r="K49" s="32" t="n"/>
      <c r="L49" s="32" t="n"/>
      <c r="M49" s="32" t="n"/>
      <c r="N49" s="32" t="n"/>
      <c r="O49" s="32" t="n"/>
    </row>
    <row r="50">
      <c r="A50" s="32" t="n"/>
      <c r="B50" s="32" t="n"/>
      <c r="C50" s="32" t="n"/>
      <c r="D50" s="32" t="n"/>
      <c r="E50" s="32" t="n"/>
      <c r="F50" s="32" t="n"/>
      <c r="G50" s="32" t="n"/>
      <c r="H50" s="32" t="n"/>
      <c r="I50" s="32" t="n"/>
      <c r="J50" s="32" t="n"/>
      <c r="K50" s="32" t="n"/>
      <c r="L50" s="32" t="n"/>
      <c r="M50" s="32" t="n"/>
      <c r="N50" s="32" t="n"/>
      <c r="O50" s="32" t="n"/>
    </row>
    <row r="51">
      <c r="A51" s="32" t="n"/>
      <c r="B51" s="32" t="n"/>
      <c r="C51" s="32" t="n"/>
      <c r="D51" s="32" t="n"/>
      <c r="E51" s="32" t="n"/>
      <c r="F51" s="32" t="n"/>
      <c r="G51" s="32" t="n"/>
      <c r="H51" s="32" t="n"/>
      <c r="I51" s="32" t="n"/>
      <c r="J51" s="32" t="n"/>
      <c r="K51" s="32" t="n"/>
      <c r="L51" s="32" t="n"/>
      <c r="M51" s="32" t="n"/>
      <c r="N51" s="32" t="n"/>
      <c r="O51" s="32" t="n"/>
    </row>
    <row r="52">
      <c r="A52" s="32" t="n"/>
      <c r="B52" s="32" t="n"/>
      <c r="C52" s="32" t="n"/>
      <c r="D52" s="32" t="n"/>
      <c r="E52" s="32" t="n"/>
      <c r="F52" s="32" t="n"/>
      <c r="G52" s="32" t="n"/>
      <c r="H52" s="32" t="n"/>
      <c r="I52" s="32" t="n"/>
      <c r="J52" s="32" t="n"/>
      <c r="K52" s="32" t="n"/>
      <c r="L52" s="32" t="n"/>
      <c r="M52" s="32" t="n"/>
      <c r="N52" s="32" t="n"/>
      <c r="O52" s="32" t="n"/>
    </row>
    <row r="53">
      <c r="A53" s="32" t="n"/>
      <c r="B53" s="32" t="n"/>
      <c r="C53" s="32" t="n"/>
      <c r="D53" s="32" t="n"/>
      <c r="E53" s="32" t="n"/>
      <c r="F53" s="32" t="n"/>
      <c r="G53" s="32" t="n"/>
      <c r="H53" s="32" t="n"/>
      <c r="I53" s="32" t="n"/>
      <c r="J53" s="32" t="n"/>
      <c r="K53" s="32" t="n"/>
      <c r="L53" s="32" t="n"/>
      <c r="M53" s="32" t="n"/>
      <c r="N53" s="32" t="n"/>
      <c r="O53" s="32" t="n"/>
    </row>
    <row r="54">
      <c r="A54" s="32" t="n"/>
      <c r="B54" s="32" t="n"/>
      <c r="C54" s="32" t="n"/>
      <c r="D54" s="32" t="n"/>
      <c r="E54" s="32" t="n"/>
      <c r="F54" s="32" t="n"/>
      <c r="G54" s="32" t="n"/>
      <c r="H54" s="32" t="n"/>
      <c r="I54" s="32" t="n"/>
      <c r="J54" s="32" t="n"/>
      <c r="K54" s="32" t="n"/>
      <c r="L54" s="32" t="n"/>
      <c r="M54" s="32" t="n"/>
      <c r="N54" s="32" t="n"/>
      <c r="O54" s="32" t="n"/>
    </row>
    <row r="55">
      <c r="A55" s="32" t="n"/>
      <c r="B55" s="32" t="n"/>
      <c r="C55" s="32" t="n"/>
      <c r="D55" s="32" t="n"/>
      <c r="E55" s="32" t="n"/>
      <c r="F55" s="32" t="n"/>
      <c r="G55" s="32" t="n"/>
      <c r="H55" s="32" t="n"/>
      <c r="I55" s="32" t="n"/>
      <c r="J55" s="32" t="n"/>
      <c r="K55" s="32" t="n"/>
      <c r="L55" s="32" t="n"/>
      <c r="M55" s="32" t="n"/>
      <c r="N55" s="32" t="n"/>
      <c r="O55" s="32" t="n"/>
    </row>
    <row r="56">
      <c r="A56" s="32" t="n"/>
      <c r="B56" s="32" t="n"/>
      <c r="C56" s="32" t="n"/>
      <c r="D56" s="32" t="n"/>
      <c r="E56" s="32" t="n"/>
      <c r="F56" s="32" t="n"/>
      <c r="G56" s="32" t="n"/>
      <c r="H56" s="32" t="n"/>
      <c r="I56" s="32" t="n"/>
      <c r="J56" s="32" t="n"/>
      <c r="K56" s="32" t="n"/>
      <c r="L56" s="32" t="n"/>
      <c r="M56" s="32" t="n"/>
      <c r="N56" s="32" t="n"/>
      <c r="O56" s="32" t="n"/>
    </row>
    <row r="57">
      <c r="A57" s="32" t="n"/>
      <c r="B57" s="32" t="n"/>
      <c r="C57" s="32" t="n"/>
      <c r="D57" s="32" t="n"/>
      <c r="E57" s="32" t="n"/>
      <c r="F57" s="32" t="n"/>
      <c r="G57" s="32" t="n"/>
      <c r="H57" s="32" t="n"/>
      <c r="I57" s="32" t="n"/>
      <c r="J57" s="32" t="n"/>
      <c r="K57" s="32" t="n"/>
      <c r="L57" s="32" t="n"/>
      <c r="M57" s="32" t="n"/>
      <c r="N57" s="32" t="n"/>
      <c r="O57" s="32" t="n"/>
    </row>
    <row r="58">
      <c r="A58" s="32" t="n"/>
      <c r="B58" s="32" t="n"/>
      <c r="C58" s="32" t="n"/>
      <c r="D58" s="32" t="n"/>
      <c r="E58" s="32" t="n"/>
      <c r="F58" s="32" t="n"/>
      <c r="G58" s="32" t="n"/>
      <c r="H58" s="32" t="n"/>
      <c r="I58" s="32" t="n"/>
      <c r="J58" s="32" t="n"/>
      <c r="K58" s="32" t="n"/>
      <c r="L58" s="32" t="n"/>
      <c r="M58" s="32" t="n"/>
      <c r="N58" s="32" t="n"/>
      <c r="O58" s="32" t="n"/>
    </row>
    <row r="59">
      <c r="A59" s="32" t="n"/>
      <c r="B59" s="32" t="n"/>
      <c r="C59" s="32" t="n"/>
      <c r="D59" s="32" t="n"/>
      <c r="E59" s="32" t="n"/>
      <c r="F59" s="32" t="n"/>
      <c r="G59" s="32" t="n"/>
      <c r="H59" s="32" t="n"/>
      <c r="I59" s="32" t="n"/>
      <c r="J59" s="32" t="n"/>
      <c r="K59" s="32" t="n"/>
      <c r="L59" s="32" t="n"/>
      <c r="M59" s="32" t="n"/>
      <c r="N59" s="32" t="n"/>
      <c r="O59" s="32" t="n"/>
    </row>
    <row r="60">
      <c r="A60" s="32" t="n"/>
      <c r="B60" s="32" t="n"/>
      <c r="C60" s="32" t="n"/>
      <c r="D60" s="32" t="n"/>
      <c r="E60" s="32" t="n"/>
      <c r="F60" s="32" t="n"/>
      <c r="G60" s="32" t="n"/>
      <c r="H60" s="32" t="n"/>
      <c r="I60" s="32" t="n"/>
      <c r="J60" s="32" t="n"/>
      <c r="K60" s="32" t="n"/>
      <c r="L60" s="32" t="n"/>
      <c r="M60" s="32" t="n"/>
      <c r="N60" s="32" t="n"/>
      <c r="O60" s="32" t="n"/>
    </row>
    <row r="61">
      <c r="A61" s="32" t="n"/>
      <c r="B61" s="32" t="n"/>
      <c r="C61" s="32" t="n"/>
      <c r="D61" s="32" t="n"/>
      <c r="E61" s="32" t="n"/>
      <c r="F61" s="32" t="n"/>
      <c r="G61" s="32" t="n"/>
      <c r="H61" s="32" t="n"/>
      <c r="I61" s="32" t="n"/>
      <c r="J61" s="32" t="n"/>
      <c r="K61" s="32" t="n"/>
      <c r="L61" s="32" t="n"/>
      <c r="M61" s="32" t="n"/>
      <c r="N61" s="32" t="n"/>
      <c r="O61" s="32" t="n"/>
    </row>
    <row r="62">
      <c r="A62" s="32" t="n"/>
      <c r="B62" s="32" t="n"/>
      <c r="C62" s="32" t="n"/>
      <c r="D62" s="32" t="n"/>
      <c r="E62" s="32" t="n"/>
      <c r="F62" s="32" t="n"/>
      <c r="G62" s="32" t="n"/>
      <c r="H62" s="32" t="n"/>
      <c r="I62" s="32" t="n"/>
      <c r="J62" s="32" t="n"/>
      <c r="K62" s="32" t="n"/>
      <c r="L62" s="32" t="n"/>
      <c r="M62" s="32" t="n"/>
      <c r="N62" s="32" t="n"/>
      <c r="O62" s="32" t="n"/>
    </row>
    <row r="63">
      <c r="A63" s="32" t="n"/>
      <c r="B63" s="32" t="n"/>
      <c r="C63" s="32" t="n"/>
      <c r="D63" s="32" t="n"/>
      <c r="E63" s="32" t="n"/>
      <c r="F63" s="32" t="n"/>
      <c r="G63" s="32" t="n"/>
      <c r="H63" s="32" t="n"/>
      <c r="I63" s="32" t="n"/>
      <c r="J63" s="32" t="n"/>
      <c r="K63" s="32" t="n"/>
      <c r="L63" s="32" t="n"/>
      <c r="M63" s="32" t="n"/>
      <c r="N63" s="32" t="n"/>
      <c r="O63" s="32" t="n"/>
    </row>
    <row r="64">
      <c r="A64" s="32" t="n"/>
      <c r="B64" s="32" t="n"/>
      <c r="C64" s="32" t="n"/>
      <c r="D64" s="32" t="n"/>
      <c r="E64" s="32" t="n"/>
      <c r="F64" s="32" t="n"/>
      <c r="G64" s="32" t="n"/>
      <c r="H64" s="32" t="n"/>
      <c r="I64" s="32" t="n"/>
      <c r="J64" s="32" t="n"/>
      <c r="K64" s="32" t="n"/>
      <c r="L64" s="32" t="n"/>
      <c r="M64" s="32" t="n"/>
      <c r="N64" s="32" t="n"/>
      <c r="O64" s="32" t="n"/>
    </row>
    <row r="65">
      <c r="A65" s="32" t="n"/>
      <c r="B65" s="32" t="n"/>
      <c r="C65" s="32" t="n"/>
      <c r="D65" s="32" t="n"/>
      <c r="E65" s="32" t="n"/>
      <c r="F65" s="32" t="n"/>
      <c r="G65" s="32" t="n"/>
      <c r="H65" s="32" t="n"/>
      <c r="I65" s="32" t="n"/>
      <c r="J65" s="32" t="n"/>
      <c r="K65" s="32" t="n"/>
      <c r="L65" s="32" t="n"/>
      <c r="M65" s="32" t="n"/>
      <c r="N65" s="32" t="n"/>
      <c r="O65" s="32" t="n"/>
    </row>
    <row r="66">
      <c r="A66" s="32" t="n"/>
      <c r="B66" s="32" t="n"/>
      <c r="C66" s="32" t="n"/>
      <c r="D66" s="32" t="n"/>
      <c r="E66" s="32" t="n"/>
      <c r="F66" s="32" t="n"/>
      <c r="G66" s="32" t="n"/>
      <c r="H66" s="32" t="n"/>
      <c r="I66" s="32" t="n"/>
      <c r="J66" s="32" t="n"/>
      <c r="K66" s="32" t="n"/>
      <c r="L66" s="32" t="n"/>
      <c r="M66" s="32" t="n"/>
      <c r="N66" s="32" t="n"/>
      <c r="O66" s="32" t="n"/>
    </row>
    <row r="67">
      <c r="A67" s="32" t="n"/>
      <c r="B67" s="32" t="n"/>
      <c r="C67" s="32" t="n"/>
      <c r="D67" s="32" t="n"/>
      <c r="E67" s="32" t="n"/>
      <c r="F67" s="32" t="n"/>
      <c r="G67" s="32" t="n"/>
      <c r="H67" s="32" t="n"/>
      <c r="I67" s="32" t="n"/>
      <c r="J67" s="32" t="n"/>
      <c r="K67" s="32" t="n"/>
      <c r="L67" s="32" t="n"/>
      <c r="M67" s="32" t="n"/>
      <c r="N67" s="32" t="n"/>
      <c r="O67" s="32" t="n"/>
    </row>
    <row r="68">
      <c r="A68" s="32" t="n"/>
      <c r="B68" s="32" t="n"/>
      <c r="C68" s="32" t="n"/>
      <c r="D68" s="32" t="n"/>
      <c r="E68" s="32" t="n"/>
      <c r="F68" s="32" t="n"/>
      <c r="G68" s="32" t="n"/>
      <c r="H68" s="32" t="n"/>
      <c r="I68" s="32" t="n"/>
      <c r="J68" s="32" t="n"/>
      <c r="K68" s="32" t="n"/>
      <c r="L68" s="32" t="n"/>
      <c r="M68" s="32" t="n"/>
      <c r="N68" s="32" t="n"/>
      <c r="O68" s="32" t="n"/>
    </row>
    <row r="69">
      <c r="A69" s="32" t="n"/>
      <c r="B69" s="32" t="n"/>
      <c r="C69" s="32" t="n"/>
      <c r="D69" s="32" t="n"/>
      <c r="E69" s="32" t="n"/>
      <c r="F69" s="32" t="n"/>
      <c r="G69" s="32" t="n"/>
      <c r="H69" s="32" t="n"/>
      <c r="I69" s="32" t="n"/>
      <c r="J69" s="32" t="n"/>
      <c r="K69" s="32" t="n"/>
      <c r="L69" s="32" t="n"/>
      <c r="M69" s="32" t="n"/>
      <c r="N69" s="32" t="n"/>
      <c r="O69" s="32" t="n"/>
    </row>
    <row r="70">
      <c r="A70" s="32" t="n"/>
      <c r="B70" s="32" t="n"/>
      <c r="C70" s="32" t="n"/>
      <c r="D70" s="32" t="n"/>
      <c r="E70" s="32" t="n"/>
      <c r="F70" s="32" t="n"/>
      <c r="G70" s="32" t="n"/>
      <c r="H70" s="32" t="n"/>
      <c r="I70" s="32" t="n"/>
      <c r="J70" s="32" t="n"/>
      <c r="K70" s="32" t="n"/>
      <c r="L70" s="32" t="n"/>
      <c r="M70" s="32" t="n"/>
      <c r="N70" s="32" t="n"/>
      <c r="O70" s="32" t="n"/>
    </row>
    <row r="71">
      <c r="A71" s="32" t="n"/>
      <c r="B71" s="32" t="n"/>
      <c r="C71" s="32" t="n"/>
      <c r="D71" s="32" t="n"/>
      <c r="E71" s="32" t="n"/>
      <c r="F71" s="32" t="n"/>
      <c r="G71" s="32" t="n"/>
      <c r="H71" s="32" t="n"/>
      <c r="I71" s="32" t="n"/>
      <c r="J71" s="32" t="n"/>
      <c r="K71" s="32" t="n"/>
      <c r="L71" s="32" t="n"/>
      <c r="M71" s="32" t="n"/>
      <c r="N71" s="32" t="n"/>
      <c r="O71" s="32" t="n"/>
    </row>
    <row r="72">
      <c r="A72" s="32" t="n"/>
      <c r="B72" s="32" t="n"/>
      <c r="C72" s="32" t="n"/>
      <c r="D72" s="32" t="n"/>
      <c r="E72" s="32" t="n"/>
      <c r="F72" s="32" t="n"/>
      <c r="G72" s="32" t="n"/>
      <c r="H72" s="32" t="n"/>
      <c r="I72" s="32" t="n"/>
      <c r="J72" s="32" t="n"/>
      <c r="K72" s="32" t="n"/>
      <c r="L72" s="32" t="n"/>
      <c r="M72" s="32" t="n"/>
      <c r="N72" s="32" t="n"/>
      <c r="O72" s="32" t="n"/>
    </row>
    <row r="73">
      <c r="A73" s="32" t="n"/>
      <c r="B73" s="32" t="n"/>
      <c r="C73" s="32" t="n"/>
      <c r="D73" s="32" t="n"/>
      <c r="E73" s="32" t="n"/>
      <c r="F73" s="32" t="n"/>
      <c r="G73" s="32" t="n"/>
      <c r="H73" s="32" t="n"/>
      <c r="I73" s="32" t="n"/>
      <c r="J73" s="32" t="n"/>
      <c r="K73" s="32" t="n"/>
      <c r="L73" s="32" t="n"/>
      <c r="M73" s="32" t="n"/>
      <c r="N73" s="32" t="n"/>
      <c r="O73" s="32" t="n"/>
    </row>
    <row r="74">
      <c r="A74" s="32" t="n"/>
      <c r="B74" s="32" t="n"/>
      <c r="C74" s="32" t="n"/>
      <c r="D74" s="32" t="n"/>
      <c r="E74" s="32" t="n"/>
      <c r="F74" s="32" t="n"/>
      <c r="G74" s="32" t="n"/>
      <c r="H74" s="32" t="n"/>
      <c r="I74" s="32" t="n"/>
      <c r="J74" s="32" t="n"/>
      <c r="K74" s="32" t="n"/>
      <c r="L74" s="32" t="n"/>
      <c r="M74" s="32" t="n"/>
      <c r="N74" s="32" t="n"/>
      <c r="O74" s="32" t="n"/>
    </row>
    <row r="75">
      <c r="A75" s="32" t="n"/>
      <c r="B75" s="32" t="n"/>
      <c r="C75" s="32" t="n"/>
      <c r="D75" s="32" t="n"/>
      <c r="E75" s="32" t="n"/>
      <c r="F75" s="32" t="n"/>
      <c r="G75" s="32" t="n"/>
      <c r="H75" s="32" t="n"/>
      <c r="I75" s="32" t="n"/>
      <c r="J75" s="32" t="n"/>
      <c r="K75" s="32" t="n"/>
      <c r="L75" s="32" t="n"/>
      <c r="M75" s="32" t="n"/>
      <c r="N75" s="32" t="n"/>
      <c r="O75" s="32" t="n"/>
    </row>
    <row r="76">
      <c r="A76" s="32" t="n"/>
      <c r="B76" s="32" t="n"/>
      <c r="C76" s="32" t="n"/>
      <c r="D76" s="32" t="n"/>
      <c r="E76" s="32" t="n"/>
      <c r="F76" s="32" t="n"/>
      <c r="G76" s="32" t="n"/>
      <c r="H76" s="32" t="n"/>
      <c r="I76" s="32" t="n"/>
      <c r="J76" s="32" t="n"/>
      <c r="K76" s="32" t="n"/>
      <c r="L76" s="32" t="n"/>
      <c r="M76" s="32" t="n"/>
      <c r="N76" s="32" t="n"/>
      <c r="O76" s="32" t="n"/>
    </row>
    <row r="77">
      <c r="A77" s="32" t="n"/>
      <c r="B77" s="32" t="n"/>
      <c r="C77" s="32" t="n"/>
      <c r="D77" s="32" t="n"/>
      <c r="E77" s="32" t="n"/>
      <c r="F77" s="32" t="n"/>
      <c r="G77" s="32" t="n"/>
      <c r="H77" s="32" t="n"/>
      <c r="I77" s="32" t="n"/>
      <c r="J77" s="32" t="n"/>
      <c r="K77" s="32" t="n"/>
      <c r="L77" s="32" t="n"/>
      <c r="M77" s="32" t="n"/>
      <c r="N77" s="32" t="n"/>
      <c r="O77" s="32" t="n"/>
    </row>
    <row r="78">
      <c r="A78" s="32" t="n"/>
      <c r="B78" s="32" t="n"/>
      <c r="C78" s="32" t="n"/>
      <c r="D78" s="32" t="n"/>
      <c r="E78" s="32" t="n"/>
      <c r="F78" s="32" t="n"/>
      <c r="G78" s="32" t="n"/>
      <c r="H78" s="32" t="n"/>
      <c r="I78" s="32" t="n"/>
      <c r="J78" s="32" t="n"/>
      <c r="K78" s="32" t="n"/>
      <c r="L78" s="32" t="n"/>
      <c r="M78" s="32" t="n"/>
      <c r="N78" s="32" t="n"/>
      <c r="O78" s="32" t="n"/>
    </row>
    <row r="79">
      <c r="A79" s="32" t="n"/>
      <c r="B79" s="32" t="n"/>
      <c r="C79" s="32" t="n"/>
      <c r="D79" s="32" t="n"/>
      <c r="E79" s="32" t="n"/>
      <c r="F79" s="32" t="n"/>
      <c r="G79" s="32" t="n"/>
      <c r="H79" s="32" t="n"/>
      <c r="I79" s="32" t="n"/>
      <c r="J79" s="32" t="n"/>
      <c r="K79" s="32" t="n"/>
      <c r="L79" s="32" t="n"/>
      <c r="M79" s="32" t="n"/>
      <c r="N79" s="32" t="n"/>
      <c r="O79" s="32" t="n"/>
    </row>
    <row r="80">
      <c r="A80" s="32" t="n"/>
      <c r="B80" s="32" t="n"/>
      <c r="C80" s="32" t="n"/>
      <c r="D80" s="32" t="n"/>
      <c r="E80" s="32" t="n"/>
      <c r="F80" s="32" t="n"/>
      <c r="G80" s="32" t="n"/>
      <c r="H80" s="32" t="n"/>
      <c r="I80" s="32" t="n"/>
      <c r="J80" s="32" t="n"/>
      <c r="K80" s="32" t="n"/>
      <c r="L80" s="32" t="n"/>
      <c r="M80" s="32" t="n"/>
      <c r="N80" s="32" t="n"/>
      <c r="O80" s="32" t="n"/>
    </row>
    <row r="81">
      <c r="A81" s="32" t="n"/>
      <c r="B81" s="32" t="n"/>
      <c r="C81" s="32" t="n"/>
      <c r="D81" s="32" t="n"/>
      <c r="E81" s="32" t="n"/>
      <c r="F81" s="32" t="n"/>
      <c r="G81" s="32" t="n"/>
      <c r="H81" s="32" t="n"/>
      <c r="I81" s="32" t="n"/>
      <c r="J81" s="32" t="n"/>
      <c r="K81" s="32" t="n"/>
      <c r="L81" s="32" t="n"/>
      <c r="M81" s="32" t="n"/>
      <c r="N81" s="32" t="n"/>
      <c r="O81" s="32" t="n"/>
    </row>
    <row r="82">
      <c r="A82" s="32" t="n"/>
      <c r="B82" s="32" t="n"/>
      <c r="C82" s="32" t="n"/>
      <c r="D82" s="32" t="n"/>
      <c r="E82" s="32" t="n"/>
      <c r="F82" s="32" t="n"/>
      <c r="G82" s="32" t="n"/>
      <c r="H82" s="32" t="n"/>
      <c r="I82" s="32" t="n"/>
      <c r="J82" s="32" t="n"/>
      <c r="K82" s="32" t="n"/>
      <c r="L82" s="32" t="n"/>
      <c r="M82" s="32" t="n"/>
      <c r="N82" s="32" t="n"/>
      <c r="O82" s="32" t="n"/>
    </row>
    <row r="83">
      <c r="A83" s="32" t="n"/>
      <c r="B83" s="32" t="n"/>
      <c r="C83" s="32" t="n"/>
      <c r="D83" s="32" t="n"/>
      <c r="E83" s="32" t="n"/>
      <c r="F83" s="32" t="n"/>
      <c r="G83" s="32" t="n"/>
      <c r="H83" s="32" t="n"/>
      <c r="I83" s="32" t="n"/>
      <c r="J83" s="32" t="n"/>
      <c r="K83" s="32" t="n"/>
      <c r="L83" s="32" t="n"/>
      <c r="M83" s="32" t="n"/>
      <c r="N83" s="32" t="n"/>
      <c r="O83" s="32" t="n"/>
    </row>
    <row r="84">
      <c r="A84" s="32" t="n"/>
      <c r="B84" s="32" t="n"/>
      <c r="C84" s="32" t="n"/>
      <c r="D84" s="32" t="n"/>
      <c r="E84" s="32" t="n"/>
      <c r="F84" s="32" t="n"/>
      <c r="G84" s="32" t="n"/>
      <c r="H84" s="32" t="n"/>
      <c r="I84" s="32" t="n"/>
      <c r="J84" s="32" t="n"/>
      <c r="K84" s="32" t="n"/>
      <c r="L84" s="32" t="n"/>
      <c r="M84" s="32" t="n"/>
      <c r="N84" s="32" t="n"/>
      <c r="O84" s="32" t="n"/>
    </row>
    <row r="85">
      <c r="A85" s="32" t="n"/>
      <c r="B85" s="32" t="n"/>
      <c r="C85" s="32" t="n"/>
      <c r="D85" s="32" t="n"/>
      <c r="E85" s="32" t="n"/>
      <c r="F85" s="32" t="n"/>
      <c r="G85" s="32" t="n"/>
      <c r="H85" s="32" t="n"/>
      <c r="I85" s="32" t="n"/>
      <c r="J85" s="32" t="n"/>
      <c r="K85" s="32" t="n"/>
      <c r="L85" s="32" t="n"/>
      <c r="M85" s="32" t="n"/>
      <c r="N85" s="32" t="n"/>
      <c r="O85" s="32" t="n"/>
    </row>
    <row r="86">
      <c r="A86" s="32" t="n"/>
      <c r="B86" s="32" t="n"/>
      <c r="C86" s="32" t="n"/>
      <c r="D86" s="32" t="n"/>
      <c r="E86" s="32" t="n"/>
      <c r="F86" s="32" t="n"/>
      <c r="G86" s="32" t="n"/>
      <c r="H86" s="32" t="n"/>
      <c r="I86" s="32" t="n"/>
      <c r="J86" s="32" t="n"/>
      <c r="K86" s="32" t="n"/>
      <c r="L86" s="32" t="n"/>
      <c r="M86" s="32" t="n"/>
      <c r="N86" s="32" t="n"/>
      <c r="O86" s="32" t="n"/>
    </row>
    <row r="87">
      <c r="A87" s="32" t="n"/>
      <c r="B87" s="32" t="n"/>
      <c r="C87" s="32" t="n"/>
      <c r="D87" s="32" t="n"/>
      <c r="E87" s="32" t="n"/>
      <c r="F87" s="32" t="n"/>
      <c r="G87" s="32" t="n"/>
      <c r="H87" s="32" t="n"/>
      <c r="I87" s="32" t="n"/>
      <c r="J87" s="32" t="n"/>
      <c r="K87" s="32" t="n"/>
      <c r="L87" s="32" t="n"/>
      <c r="M87" s="32" t="n"/>
      <c r="N87" s="32" t="n"/>
      <c r="O87" s="32" t="n"/>
    </row>
    <row r="88">
      <c r="A88" s="32" t="n"/>
      <c r="B88" s="32" t="n"/>
      <c r="C88" s="32" t="n"/>
      <c r="D88" s="32" t="n"/>
      <c r="E88" s="32" t="n"/>
      <c r="F88" s="32" t="n"/>
      <c r="G88" s="32" t="n"/>
      <c r="H88" s="32" t="n"/>
      <c r="I88" s="32" t="n"/>
      <c r="J88" s="32" t="n"/>
      <c r="K88" s="32" t="n"/>
      <c r="L88" s="32" t="n"/>
      <c r="M88" s="32" t="n"/>
      <c r="N88" s="32" t="n"/>
      <c r="O88" s="32" t="n"/>
    </row>
    <row r="89">
      <c r="A89" s="32" t="n"/>
      <c r="B89" s="32" t="n"/>
      <c r="C89" s="32" t="n"/>
      <c r="D89" s="32" t="n"/>
      <c r="E89" s="32" t="n"/>
      <c r="F89" s="32" t="n"/>
      <c r="G89" s="32" t="n"/>
      <c r="H89" s="32" t="n"/>
      <c r="I89" s="32" t="n"/>
      <c r="J89" s="32" t="n"/>
      <c r="K89" s="32" t="n"/>
      <c r="L89" s="32" t="n"/>
      <c r="M89" s="32" t="n"/>
      <c r="N89" s="32" t="n"/>
      <c r="O89" s="32" t="n"/>
    </row>
    <row r="90">
      <c r="A90" s="32" t="n"/>
      <c r="B90" s="32" t="n"/>
      <c r="C90" s="32" t="n"/>
      <c r="D90" s="32" t="n"/>
      <c r="E90" s="32" t="n"/>
      <c r="F90" s="32" t="n"/>
      <c r="G90" s="32" t="n"/>
      <c r="H90" s="32" t="n"/>
      <c r="I90" s="32" t="n"/>
      <c r="J90" s="32" t="n"/>
      <c r="K90" s="32" t="n"/>
      <c r="L90" s="32" t="n"/>
      <c r="M90" s="32" t="n"/>
      <c r="N90" s="32" t="n"/>
      <c r="O90" s="32" t="n"/>
    </row>
    <row r="91">
      <c r="A91" s="32" t="n"/>
      <c r="B91" s="32" t="n"/>
      <c r="C91" s="32" t="n"/>
      <c r="D91" s="32" t="n"/>
      <c r="E91" s="32" t="n"/>
      <c r="F91" s="32" t="n"/>
      <c r="G91" s="32" t="n"/>
      <c r="H91" s="32" t="n"/>
      <c r="I91" s="32" t="n"/>
      <c r="J91" s="32" t="n"/>
      <c r="K91" s="32" t="n"/>
      <c r="L91" s="32" t="n"/>
      <c r="M91" s="32" t="n"/>
      <c r="N91" s="32" t="n"/>
      <c r="O91" s="32" t="n"/>
    </row>
    <row r="92">
      <c r="A92" s="32" t="n"/>
      <c r="B92" s="32" t="n"/>
      <c r="C92" s="32" t="n"/>
      <c r="D92" s="32" t="n"/>
      <c r="E92" s="32" t="n"/>
      <c r="F92" s="32" t="n"/>
      <c r="G92" s="32" t="n"/>
      <c r="H92" s="32" t="n"/>
      <c r="I92" s="32" t="n"/>
      <c r="J92" s="32" t="n"/>
      <c r="K92" s="32" t="n"/>
      <c r="L92" s="32" t="n"/>
      <c r="M92" s="32" t="n"/>
      <c r="N92" s="32" t="n"/>
      <c r="O92" s="32" t="n"/>
    </row>
    <row r="93">
      <c r="A93" s="32" t="n"/>
      <c r="B93" s="32" t="n"/>
      <c r="C93" s="32" t="n"/>
      <c r="D93" s="32" t="n"/>
      <c r="E93" s="32" t="n"/>
      <c r="F93" s="32" t="n"/>
      <c r="G93" s="32" t="n"/>
      <c r="H93" s="32" t="n"/>
      <c r="I93" s="32" t="n"/>
      <c r="J93" s="32" t="n"/>
      <c r="K93" s="32" t="n"/>
      <c r="L93" s="32" t="n"/>
      <c r="M93" s="32" t="n"/>
      <c r="N93" s="32" t="n"/>
      <c r="O93" s="32" t="n"/>
    </row>
    <row r="94">
      <c r="A94" s="32" t="n"/>
      <c r="B94" s="32" t="n"/>
      <c r="C94" s="32" t="n"/>
      <c r="D94" s="32" t="n"/>
      <c r="E94" s="32" t="n"/>
      <c r="F94" s="32" t="n"/>
      <c r="G94" s="32" t="n"/>
      <c r="H94" s="32" t="n"/>
      <c r="I94" s="32" t="n"/>
      <c r="J94" s="32" t="n"/>
      <c r="K94" s="32" t="n"/>
      <c r="L94" s="32" t="n"/>
      <c r="M94" s="32" t="n"/>
      <c r="N94" s="32" t="n"/>
      <c r="O94" s="32" t="n"/>
    </row>
    <row r="95">
      <c r="A95" s="32" t="n"/>
      <c r="B95" s="32" t="n"/>
      <c r="C95" s="32" t="n"/>
      <c r="D95" s="32" t="n"/>
      <c r="E95" s="32" t="n"/>
      <c r="F95" s="32" t="n"/>
      <c r="G95" s="32" t="n"/>
      <c r="H95" s="32" t="n"/>
      <c r="I95" s="32" t="n"/>
      <c r="J95" s="32" t="n"/>
      <c r="K95" s="32" t="n"/>
      <c r="L95" s="32" t="n"/>
      <c r="M95" s="32" t="n"/>
      <c r="N95" s="32" t="n"/>
      <c r="O95" s="32" t="n"/>
    </row>
    <row r="96">
      <c r="A96" s="32" t="n"/>
      <c r="B96" s="32" t="n"/>
      <c r="C96" s="32" t="n"/>
      <c r="D96" s="32" t="n"/>
      <c r="E96" s="32" t="n"/>
      <c r="F96" s="32" t="n"/>
      <c r="G96" s="32" t="n"/>
      <c r="H96" s="32" t="n"/>
      <c r="I96" s="32" t="n"/>
      <c r="J96" s="32" t="n"/>
      <c r="K96" s="32" t="n"/>
      <c r="L96" s="32" t="n"/>
      <c r="M96" s="32" t="n"/>
      <c r="N96" s="32" t="n"/>
      <c r="O96" s="32" t="n"/>
    </row>
    <row r="97">
      <c r="A97" s="32" t="n"/>
      <c r="B97" s="32" t="n"/>
      <c r="C97" s="32" t="n"/>
      <c r="D97" s="32" t="n"/>
      <c r="E97" s="32" t="n"/>
      <c r="F97" s="32" t="n"/>
      <c r="G97" s="32" t="n"/>
      <c r="H97" s="32" t="n"/>
      <c r="I97" s="32" t="n"/>
      <c r="J97" s="32" t="n"/>
      <c r="K97" s="32" t="n"/>
      <c r="L97" s="32" t="n"/>
      <c r="M97" s="32" t="n"/>
      <c r="N97" s="32" t="n"/>
      <c r="O97" s="32" t="n"/>
    </row>
    <row r="98">
      <c r="A98" s="32" t="n"/>
      <c r="B98" s="32" t="n"/>
      <c r="C98" s="32" t="n"/>
      <c r="D98" s="32" t="n"/>
      <c r="E98" s="32" t="n"/>
      <c r="F98" s="32" t="n"/>
      <c r="G98" s="32" t="n"/>
      <c r="H98" s="32" t="n"/>
      <c r="I98" s="32" t="n"/>
      <c r="J98" s="32" t="n"/>
      <c r="K98" s="32" t="n"/>
      <c r="L98" s="32" t="n"/>
      <c r="M98" s="32" t="n"/>
      <c r="N98" s="32" t="n"/>
      <c r="O98" s="32" t="n"/>
    </row>
    <row r="99">
      <c r="A99" s="32" t="n"/>
      <c r="B99" s="32" t="n"/>
      <c r="C99" s="32" t="n"/>
      <c r="D99" s="32" t="n"/>
      <c r="E99" s="32" t="n"/>
      <c r="F99" s="32" t="n"/>
      <c r="G99" s="32" t="n"/>
      <c r="H99" s="32" t="n"/>
      <c r="I99" s="32" t="n"/>
      <c r="J99" s="32" t="n"/>
      <c r="K99" s="32" t="n"/>
      <c r="L99" s="32" t="n"/>
      <c r="M99" s="32" t="n"/>
      <c r="N99" s="32" t="n"/>
      <c r="O99" s="32" t="n"/>
    </row>
    <row r="100">
      <c r="A100" s="32" t="n"/>
      <c r="B100" s="32" t="n"/>
      <c r="C100" s="32" t="n"/>
      <c r="D100" s="32" t="n"/>
      <c r="E100" s="32" t="n"/>
      <c r="F100" s="32" t="n"/>
      <c r="G100" s="32" t="n"/>
      <c r="H100" s="32" t="n"/>
      <c r="I100" s="32" t="n"/>
      <c r="J100" s="32" t="n"/>
      <c r="K100" s="32" t="n"/>
      <c r="L100" s="32" t="n"/>
      <c r="M100" s="32" t="n"/>
      <c r="N100" s="32" t="n"/>
      <c r="O100" s="32" t="n"/>
    </row>
    <row r="101">
      <c r="A101" s="32" t="n"/>
      <c r="B101" s="32" t="n"/>
      <c r="C101" s="32" t="n"/>
      <c r="D101" s="32" t="n"/>
      <c r="E101" s="32" t="n"/>
      <c r="F101" s="32" t="n"/>
      <c r="G101" s="32" t="n"/>
      <c r="H101" s="32" t="n"/>
      <c r="I101" s="32" t="n"/>
      <c r="J101" s="32" t="n"/>
      <c r="K101" s="32" t="n"/>
      <c r="L101" s="32" t="n"/>
      <c r="M101" s="32" t="n"/>
      <c r="N101" s="32" t="n"/>
      <c r="O101" s="32" t="n"/>
    </row>
    <row r="102">
      <c r="A102" s="32" t="n"/>
      <c r="B102" s="32" t="n"/>
      <c r="C102" s="32" t="n"/>
      <c r="D102" s="32" t="n"/>
      <c r="E102" s="32" t="n"/>
      <c r="F102" s="32" t="n"/>
      <c r="G102" s="32" t="n"/>
      <c r="H102" s="32" t="n"/>
      <c r="I102" s="32" t="n"/>
      <c r="J102" s="32" t="n"/>
      <c r="K102" s="32" t="n"/>
      <c r="L102" s="32" t="n"/>
      <c r="M102" s="32" t="n"/>
      <c r="N102" s="32" t="n"/>
      <c r="O102" s="32" t="n"/>
    </row>
    <row r="103">
      <c r="A103" s="32" t="n"/>
      <c r="B103" s="32" t="n"/>
      <c r="C103" s="32" t="n"/>
      <c r="D103" s="32" t="n"/>
      <c r="E103" s="32" t="n"/>
      <c r="F103" s="32" t="n"/>
      <c r="G103" s="32" t="n"/>
      <c r="H103" s="32" t="n"/>
      <c r="I103" s="32" t="n"/>
      <c r="J103" s="32" t="n"/>
      <c r="K103" s="32" t="n"/>
      <c r="L103" s="32" t="n"/>
      <c r="M103" s="32" t="n"/>
      <c r="N103" s="32" t="n"/>
      <c r="O103" s="32" t="n"/>
    </row>
    <row r="104">
      <c r="A104" s="32" t="n"/>
      <c r="B104" s="32" t="n"/>
      <c r="C104" s="32" t="n"/>
      <c r="D104" s="32" t="n"/>
      <c r="E104" s="32" t="n"/>
      <c r="F104" s="32" t="n"/>
      <c r="G104" s="32" t="n"/>
      <c r="H104" s="32" t="n"/>
      <c r="I104" s="32" t="n"/>
      <c r="J104" s="32" t="n"/>
      <c r="K104" s="32" t="n"/>
      <c r="L104" s="32" t="n"/>
      <c r="M104" s="32" t="n"/>
      <c r="N104" s="32" t="n"/>
      <c r="O104" s="32" t="n"/>
    </row>
    <row r="105">
      <c r="A105" s="32" t="n"/>
      <c r="B105" s="32" t="n"/>
      <c r="C105" s="32" t="n"/>
      <c r="D105" s="32" t="n"/>
      <c r="E105" s="32" t="n"/>
      <c r="F105" s="32" t="n"/>
      <c r="G105" s="32" t="n"/>
      <c r="H105" s="32" t="n"/>
      <c r="I105" s="32" t="n"/>
      <c r="J105" s="32" t="n"/>
      <c r="K105" s="32" t="n"/>
      <c r="L105" s="32" t="n"/>
      <c r="M105" s="32" t="n"/>
      <c r="N105" s="32" t="n"/>
      <c r="O105" s="32" t="n"/>
    </row>
    <row r="106">
      <c r="A106" s="32" t="n"/>
      <c r="B106" s="32" t="n"/>
      <c r="C106" s="32" t="n"/>
      <c r="D106" s="32" t="n"/>
      <c r="E106" s="32" t="n"/>
      <c r="F106" s="32" t="n"/>
      <c r="G106" s="32" t="n"/>
      <c r="H106" s="32" t="n"/>
      <c r="I106" s="32" t="n"/>
      <c r="J106" s="32" t="n"/>
      <c r="K106" s="32" t="n"/>
      <c r="L106" s="32" t="n"/>
      <c r="M106" s="32" t="n"/>
      <c r="N106" s="32" t="n"/>
      <c r="O106" s="32" t="n"/>
    </row>
    <row r="107">
      <c r="A107" s="32" t="n"/>
      <c r="B107" s="32" t="n"/>
      <c r="C107" s="32" t="n"/>
      <c r="D107" s="32" t="n"/>
      <c r="E107" s="32" t="n"/>
      <c r="F107" s="32" t="n"/>
      <c r="G107" s="32" t="n"/>
      <c r="H107" s="32" t="n"/>
      <c r="I107" s="32" t="n"/>
      <c r="J107" s="32" t="n"/>
      <c r="K107" s="32" t="n"/>
      <c r="L107" s="32" t="n"/>
      <c r="M107" s="32" t="n"/>
      <c r="N107" s="32" t="n"/>
      <c r="O107" s="32" t="n"/>
    </row>
    <row r="108">
      <c r="A108" s="32" t="n"/>
      <c r="B108" s="32" t="n"/>
      <c r="C108" s="32" t="n"/>
      <c r="D108" s="32" t="n"/>
      <c r="E108" s="32" t="n"/>
      <c r="F108" s="32" t="n"/>
      <c r="G108" s="32" t="n"/>
      <c r="H108" s="32" t="n"/>
      <c r="I108" s="32" t="n"/>
      <c r="J108" s="32" t="n"/>
      <c r="K108" s="32" t="n"/>
      <c r="L108" s="32" t="n"/>
      <c r="M108" s="32" t="n"/>
      <c r="N108" s="32" t="n"/>
      <c r="O108" s="32" t="n"/>
    </row>
    <row r="109">
      <c r="A109" s="32" t="n"/>
      <c r="B109" s="32" t="n"/>
      <c r="C109" s="32" t="n"/>
      <c r="D109" s="32" t="n"/>
      <c r="E109" s="32" t="n"/>
      <c r="F109" s="32" t="n"/>
      <c r="G109" s="32" t="n"/>
      <c r="H109" s="32" t="n"/>
      <c r="I109" s="32" t="n"/>
      <c r="J109" s="32" t="n"/>
      <c r="K109" s="32" t="n"/>
      <c r="L109" s="32" t="n"/>
      <c r="M109" s="32" t="n"/>
      <c r="N109" s="32" t="n"/>
      <c r="O109" s="32" t="n"/>
    </row>
    <row r="110">
      <c r="A110" s="32" t="n"/>
      <c r="B110" s="32" t="n"/>
      <c r="C110" s="32" t="n"/>
      <c r="D110" s="32" t="n"/>
      <c r="E110" s="32" t="n"/>
      <c r="F110" s="32" t="n"/>
      <c r="G110" s="32" t="n"/>
      <c r="H110" s="32" t="n"/>
      <c r="I110" s="32" t="n"/>
      <c r="J110" s="32" t="n"/>
      <c r="K110" s="32" t="n"/>
      <c r="L110" s="32" t="n"/>
      <c r="M110" s="32" t="n"/>
      <c r="N110" s="32" t="n"/>
      <c r="O110" s="32" t="n"/>
    </row>
    <row r="111">
      <c r="A111" s="32" t="n"/>
      <c r="B111" s="32" t="n"/>
      <c r="C111" s="32" t="n"/>
      <c r="D111" s="32" t="n"/>
      <c r="E111" s="32" t="n"/>
      <c r="F111" s="32" t="n"/>
      <c r="G111" s="32" t="n"/>
      <c r="H111" s="32" t="n"/>
      <c r="I111" s="32" t="n"/>
      <c r="J111" s="32" t="n"/>
      <c r="K111" s="32" t="n"/>
      <c r="L111" s="32" t="n"/>
      <c r="M111" s="32" t="n"/>
      <c r="N111" s="32" t="n"/>
      <c r="O111" s="32" t="n"/>
    </row>
    <row r="112">
      <c r="A112" s="32" t="n"/>
      <c r="B112" s="32" t="n"/>
      <c r="C112" s="32" t="n"/>
      <c r="D112" s="32" t="n"/>
      <c r="E112" s="32" t="n"/>
      <c r="F112" s="32" t="n"/>
      <c r="G112" s="32" t="n"/>
      <c r="H112" s="32" t="n"/>
      <c r="I112" s="32" t="n"/>
      <c r="J112" s="32" t="n"/>
      <c r="K112" s="32" t="n"/>
      <c r="L112" s="32" t="n"/>
      <c r="M112" s="32" t="n"/>
      <c r="N112" s="32" t="n"/>
      <c r="O112" s="32" t="n"/>
    </row>
    <row r="113">
      <c r="A113" s="32" t="n"/>
      <c r="B113" s="32" t="n"/>
      <c r="C113" s="32" t="n"/>
      <c r="D113" s="32" t="n"/>
      <c r="E113" s="32" t="n"/>
      <c r="F113" s="32" t="n"/>
      <c r="G113" s="32" t="n"/>
      <c r="H113" s="32" t="n"/>
      <c r="I113" s="32" t="n"/>
      <c r="J113" s="32" t="n"/>
      <c r="K113" s="32" t="n"/>
      <c r="L113" s="32" t="n"/>
      <c r="M113" s="32" t="n"/>
      <c r="N113" s="32" t="n"/>
      <c r="O113" s="32" t="n"/>
    </row>
    <row r="114">
      <c r="A114" s="32" t="n"/>
      <c r="B114" s="32" t="n"/>
      <c r="C114" s="32" t="n"/>
      <c r="D114" s="32" t="n"/>
      <c r="E114" s="32" t="n"/>
      <c r="F114" s="32" t="n"/>
      <c r="G114" s="32" t="n"/>
      <c r="H114" s="32" t="n"/>
      <c r="I114" s="32" t="n"/>
      <c r="J114" s="32" t="n"/>
      <c r="K114" s="32" t="n"/>
      <c r="L114" s="32" t="n"/>
      <c r="M114" s="32" t="n"/>
      <c r="N114" s="32" t="n"/>
      <c r="O114" s="32" t="n"/>
    </row>
    <row r="115">
      <c r="A115" s="32" t="n"/>
      <c r="B115" s="32" t="n"/>
      <c r="C115" s="32" t="n"/>
      <c r="D115" s="32" t="n"/>
      <c r="E115" s="32" t="n"/>
      <c r="F115" s="32" t="n"/>
      <c r="G115" s="32" t="n"/>
      <c r="H115" s="32" t="n"/>
      <c r="I115" s="32" t="n"/>
      <c r="J115" s="32" t="n"/>
      <c r="K115" s="32" t="n"/>
      <c r="L115" s="32" t="n"/>
      <c r="M115" s="32" t="n"/>
      <c r="N115" s="32" t="n"/>
      <c r="O115" s="32" t="n"/>
    </row>
    <row r="116">
      <c r="A116" s="32" t="n"/>
      <c r="B116" s="32" t="n"/>
      <c r="C116" s="32" t="n"/>
      <c r="D116" s="32" t="n"/>
      <c r="E116" s="32" t="n"/>
      <c r="F116" s="32" t="n"/>
      <c r="G116" s="32" t="n"/>
      <c r="H116" s="32" t="n"/>
      <c r="I116" s="32" t="n"/>
      <c r="J116" s="32" t="n"/>
      <c r="K116" s="32" t="n"/>
      <c r="L116" s="32" t="n"/>
      <c r="M116" s="32" t="n"/>
      <c r="N116" s="32" t="n"/>
      <c r="O116" s="32" t="n"/>
    </row>
    <row r="117">
      <c r="A117" s="32" t="n"/>
      <c r="B117" s="32" t="n"/>
      <c r="C117" s="32" t="n"/>
      <c r="D117" s="32" t="n"/>
      <c r="E117" s="32" t="n"/>
      <c r="F117" s="32" t="n"/>
      <c r="G117" s="32" t="n"/>
      <c r="H117" s="32" t="n"/>
      <c r="I117" s="32" t="n"/>
      <c r="J117" s="32" t="n"/>
      <c r="K117" s="32" t="n"/>
      <c r="L117" s="32" t="n"/>
      <c r="M117" s="32" t="n"/>
      <c r="N117" s="32" t="n"/>
      <c r="O117" s="32" t="n"/>
    </row>
    <row r="118">
      <c r="A118" s="32" t="n"/>
      <c r="B118" s="32" t="n"/>
      <c r="C118" s="32" t="n"/>
      <c r="D118" s="32" t="n"/>
      <c r="E118" s="32" t="n"/>
      <c r="F118" s="32" t="n"/>
      <c r="G118" s="32" t="n"/>
      <c r="H118" s="32" t="n"/>
      <c r="I118" s="32" t="n"/>
      <c r="J118" s="32" t="n"/>
      <c r="K118" s="32" t="n"/>
      <c r="L118" s="32" t="n"/>
      <c r="M118" s="32" t="n"/>
      <c r="N118" s="32" t="n"/>
      <c r="O118" s="32" t="n"/>
    </row>
    <row r="119">
      <c r="A119" s="32" t="n"/>
      <c r="B119" s="32" t="n"/>
      <c r="C119" s="32" t="n"/>
      <c r="D119" s="32" t="n"/>
      <c r="E119" s="32" t="n"/>
      <c r="F119" s="32" t="n"/>
      <c r="G119" s="32" t="n"/>
      <c r="H119" s="32" t="n"/>
      <c r="I119" s="32" t="n"/>
      <c r="J119" s="32" t="n"/>
      <c r="K119" s="32" t="n"/>
      <c r="L119" s="32" t="n"/>
      <c r="M119" s="32" t="n"/>
      <c r="N119" s="32" t="n"/>
      <c r="O119" s="32" t="n"/>
    </row>
    <row r="120">
      <c r="A120" s="32" t="n"/>
      <c r="B120" s="32" t="n"/>
      <c r="C120" s="32" t="n"/>
      <c r="D120" s="32" t="n"/>
      <c r="E120" s="32" t="n"/>
      <c r="F120" s="32" t="n"/>
      <c r="G120" s="32" t="n"/>
      <c r="H120" s="32" t="n"/>
      <c r="I120" s="32" t="n"/>
      <c r="J120" s="32" t="n"/>
      <c r="K120" s="32" t="n"/>
      <c r="L120" s="32" t="n"/>
      <c r="M120" s="32" t="n"/>
      <c r="N120" s="32" t="n"/>
      <c r="O120" s="32" t="n"/>
    </row>
  </sheetData>
  <mergeCells count="2">
    <mergeCell ref="A1:O1"/>
    <mergeCell ref="A2:O2"/>
  </mergeCells>
  <conditionalFormatting sqref="G5:G120">
    <cfRule type="expression" priority="1" dxfId="0">
      <formula>G5="PASS"</formula>
    </cfRule>
    <cfRule type="expression" priority="2" dxfId="1">
      <formula>G5="FAIL"</formula>
    </cfRule>
    <cfRule type="expression" priority="3" dxfId="2">
      <formula>G5="RETEST REQUIRED"</formula>
    </cfRule>
    <cfRule type="expression" priority="4" dxfId="3">
      <formula>G5="BLOCKED"</formula>
    </cfRule>
    <cfRule type="expression" priority="5" dxfId="4">
      <formula>G5="PENDING"</formula>
    </cfRule>
  </conditionalFormatting>
  <conditionalFormatting sqref="K5:K120">
    <cfRule type="expression" priority="6" dxfId="5">
      <formula>K5="Critical"</formula>
    </cfRule>
    <cfRule type="expression" priority="7" dxfId="3">
      <formula>K5="High"</formula>
    </cfRule>
    <cfRule type="expression" priority="8" dxfId="2">
      <formula>K5="Medium"</formula>
    </cfRule>
  </conditionalFormatting>
  <dataValidations count="4">
    <dataValidation sqref="G5:G120" showDropDown="0" showInputMessage="0" showErrorMessage="0" allowBlank="0" type="list">
      <formula1>"PENDING,PASS,FAIL,N/A,RETEST REQUIRED,BLOCKED"</formula1>
    </dataValidation>
    <dataValidation sqref="K5:K120" showDropDown="0" showInputMessage="0" showErrorMessage="0" allowBlank="0" type="list">
      <formula1>"Low,Medium,High,Critical"</formula1>
    </dataValidation>
    <dataValidation sqref="L5:L120" showDropDown="0" showInputMessage="0" showErrorMessage="0" allowBlank="0" type="list">
      <formula1>"Hardik,Manus,ChatGPT,Hardware,Home Assistant,LocalTuya,Firmware,Other"</formula1>
    </dataValidation>
    <dataValidation sqref="M5:N120" showDropDown="0" showInputMessage="0" showErrorMessage="0" allowBlank="0" type="list">
      <formula1>"Yes,No,N/A"</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O140"/>
  <sheetViews>
    <sheetView workbookViewId="0">
      <pane ySplit="4" topLeftCell="A5" activePane="bottomLeft" state="frozen"/>
      <selection pane="bottomLeft" activeCell="A1" sqref="A1"/>
    </sheetView>
  </sheetViews>
  <sheetFormatPr baseColWidth="8" defaultRowHeight="15"/>
  <cols>
    <col width="15" customWidth="1" min="1" max="1"/>
    <col width="22" customWidth="1" min="2" max="2"/>
    <col width="10" customWidth="1" min="3" max="3"/>
    <col width="34" customWidth="1" min="4" max="4"/>
    <col width="40" customWidth="1" min="5" max="5"/>
    <col width="40" customWidth="1" min="6" max="6"/>
    <col width="9" customWidth="1" min="7" max="7"/>
    <col width="15" customWidth="1" min="8" max="8"/>
    <col width="13" customWidth="1" min="9" max="9"/>
    <col width="14" customWidth="1" min="10" max="10"/>
    <col width="10" customWidth="1" min="11" max="11"/>
    <col width="16" customWidth="1" min="12" max="12"/>
    <col width="11" customWidth="1" min="13" max="13"/>
    <col width="16" customWidth="1" min="14" max="14"/>
    <col width="13" customWidth="1" min="15" max="15"/>
  </cols>
  <sheetData>
    <row r="1" ht="28" customHeight="1">
      <c r="A1" s="50" t="inlineStr">
        <is>
          <t>Stage 3 — Door-Side ELECROW Flashing</t>
        </is>
      </c>
      <c r="B1" s="51" t="n"/>
      <c r="C1" s="51" t="n"/>
      <c r="D1" s="51" t="n"/>
      <c r="E1" s="51" t="n"/>
      <c r="F1" s="51" t="n"/>
      <c r="G1" s="51" t="n"/>
      <c r="H1" s="51" t="n"/>
      <c r="I1" s="51" t="n"/>
      <c r="J1" s="51" t="n"/>
      <c r="K1" s="51" t="n"/>
      <c r="L1" s="51" t="n"/>
      <c r="M1" s="51" t="n"/>
      <c r="N1" s="51" t="n"/>
      <c r="O1" s="51" t="n"/>
    </row>
    <row r="2" ht="36" customHeight="1">
      <c r="A2" s="52" t="inlineStr">
        <is>
          <t>Compile, flash, boot, and first connection gate for the door-side device.</t>
        </is>
      </c>
      <c r="B2" s="53" t="n"/>
      <c r="C2" s="53" t="n"/>
      <c r="D2" s="53" t="n"/>
      <c r="E2" s="53" t="n"/>
      <c r="F2" s="53" t="n"/>
      <c r="G2" s="53" t="n"/>
      <c r="H2" s="53" t="n"/>
      <c r="I2" s="53" t="n"/>
      <c r="J2" s="53" t="n"/>
      <c r="K2" s="53" t="n"/>
      <c r="L2" s="53" t="n"/>
      <c r="M2" s="53" t="n"/>
      <c r="N2" s="53" t="n"/>
      <c r="O2" s="53" t="n"/>
    </row>
    <row r="4" ht="36" customHeight="1">
      <c r="A4" s="42" t="inlineStr">
        <is>
          <t>Step ID</t>
        </is>
      </c>
      <c r="B4" s="42" t="inlineStr">
        <is>
          <t>Stage</t>
        </is>
      </c>
      <c r="C4" s="42" t="inlineStr">
        <is>
          <t>Category</t>
        </is>
      </c>
      <c r="D4" s="42" t="inlineStr">
        <is>
          <t>Step / Test</t>
        </is>
      </c>
      <c r="E4" s="42" t="inlineStr">
        <is>
          <t>Command / Action</t>
        </is>
      </c>
      <c r="F4" s="42" t="inlineStr">
        <is>
          <t>Expected Result</t>
        </is>
      </c>
      <c r="G4" s="42" t="inlineStr">
        <is>
          <t>Status</t>
        </is>
      </c>
      <c r="H4" s="42" t="inlineStr">
        <is>
          <t>Actual Result</t>
        </is>
      </c>
      <c r="I4" s="42" t="inlineStr">
        <is>
          <t>Observation</t>
        </is>
      </c>
      <c r="J4" s="42" t="inlineStr">
        <is>
          <t>Evidence Ref</t>
        </is>
      </c>
      <c r="K4" s="42" t="inlineStr">
        <is>
          <t>Severity</t>
        </is>
      </c>
      <c r="L4" s="42" t="inlineStr">
        <is>
          <t>Owner</t>
        </is>
      </c>
      <c r="M4" s="42" t="inlineStr">
        <is>
          <t>Blocking?</t>
        </is>
      </c>
      <c r="N4" s="42" t="inlineStr">
        <is>
          <t>AI Fix Needed?</t>
        </is>
      </c>
      <c r="O4" s="42" t="inlineStr">
        <is>
          <t>Next Action</t>
        </is>
      </c>
    </row>
    <row r="5">
      <c r="A5" s="54" t="inlineStr">
        <is>
          <t>DOOR-FLASH-01</t>
        </is>
      </c>
      <c r="B5" s="44" t="inlineStr">
        <is>
          <t>Stage 3 — Door Flash</t>
        </is>
      </c>
      <c r="C5" s="44" t="inlineStr">
        <is>
          <t>Compile</t>
        </is>
      </c>
      <c r="D5" s="44" t="inlineStr">
        <is>
          <t>Compile door-side firmware</t>
        </is>
      </c>
      <c r="E5" s="44" t="inlineStr">
        <is>
          <t>esphome compile esphome/door_side_rotary.yaml</t>
        </is>
      </c>
      <c r="F5" s="44" t="inlineStr">
        <is>
          <t>Compile PASS</t>
        </is>
      </c>
      <c r="G5" s="55" t="inlineStr">
        <is>
          <t>PENDING</t>
        </is>
      </c>
      <c r="H5" s="44" t="str"/>
      <c r="I5" s="44" t="str"/>
      <c r="J5" s="44" t="str"/>
      <c r="K5" s="60" t="inlineStr">
        <is>
          <t>Critical</t>
        </is>
      </c>
      <c r="L5" s="44" t="inlineStr">
        <is>
          <t>Firmware</t>
        </is>
      </c>
      <c r="M5" s="44" t="inlineStr">
        <is>
          <t>Yes</t>
        </is>
      </c>
      <c r="N5" s="44" t="inlineStr">
        <is>
          <t>No</t>
        </is>
      </c>
      <c r="O5" s="44" t="str"/>
    </row>
    <row r="6">
      <c r="A6" s="57" t="inlineStr">
        <is>
          <t>DOOR-FLASH-02</t>
        </is>
      </c>
      <c r="B6" s="43" t="inlineStr">
        <is>
          <t>Stage 3 — Door Flash</t>
        </is>
      </c>
      <c r="C6" s="43" t="inlineStr">
        <is>
          <t>Flash</t>
        </is>
      </c>
      <c r="D6" s="43" t="inlineStr">
        <is>
          <t>Flash door-side firmware via USB</t>
        </is>
      </c>
      <c r="E6" s="43" t="inlineStr">
        <is>
          <t>esphome run esphome/door_side_rotary.yaml</t>
        </is>
      </c>
      <c r="F6" s="43" t="inlineStr">
        <is>
          <t>Upload completes and board reboots</t>
        </is>
      </c>
      <c r="G6" s="55" t="inlineStr">
        <is>
          <t>PENDING</t>
        </is>
      </c>
      <c r="H6" s="43" t="str"/>
      <c r="I6" s="43" t="str"/>
      <c r="J6" s="43" t="str"/>
      <c r="K6" s="59" t="inlineStr">
        <is>
          <t>Critical</t>
        </is>
      </c>
      <c r="L6" s="43" t="inlineStr">
        <is>
          <t>Firmware</t>
        </is>
      </c>
      <c r="M6" s="43" t="inlineStr">
        <is>
          <t>Yes</t>
        </is>
      </c>
      <c r="N6" s="43" t="inlineStr">
        <is>
          <t>No</t>
        </is>
      </c>
      <c r="O6" s="43" t="str"/>
    </row>
    <row r="7">
      <c r="A7" s="54" t="inlineStr">
        <is>
          <t>DOOR-FLASH-03</t>
        </is>
      </c>
      <c r="B7" s="44" t="inlineStr">
        <is>
          <t>Stage 3 — Door Flash</t>
        </is>
      </c>
      <c r="C7" s="44" t="inlineStr">
        <is>
          <t>Boot</t>
        </is>
      </c>
      <c r="D7" s="44" t="inlineStr">
        <is>
          <t>Inspect serial logs</t>
        </is>
      </c>
      <c r="E7" s="44" t="inlineStr">
        <is>
          <t>Keep ESPHome logs open after boot</t>
        </is>
      </c>
      <c r="F7" s="44" t="inlineStr">
        <is>
          <t>No bootloop/panic/repeated reset</t>
        </is>
      </c>
      <c r="G7" s="55" t="inlineStr">
        <is>
          <t>PENDING</t>
        </is>
      </c>
      <c r="H7" s="44" t="str"/>
      <c r="I7" s="44" t="str"/>
      <c r="J7" s="44" t="str"/>
      <c r="K7" s="60" t="inlineStr">
        <is>
          <t>Critical</t>
        </is>
      </c>
      <c r="L7" s="44" t="inlineStr">
        <is>
          <t>Firmware</t>
        </is>
      </c>
      <c r="M7" s="44" t="inlineStr">
        <is>
          <t>Yes</t>
        </is>
      </c>
      <c r="N7" s="44" t="inlineStr">
        <is>
          <t>No</t>
        </is>
      </c>
      <c r="O7" s="44" t="str"/>
    </row>
    <row r="8">
      <c r="A8" s="57" t="inlineStr">
        <is>
          <t>DOOR-FLASH-04</t>
        </is>
      </c>
      <c r="B8" s="43" t="inlineStr">
        <is>
          <t>Stage 3 — Door Flash</t>
        </is>
      </c>
      <c r="C8" s="43" t="inlineStr">
        <is>
          <t>Display</t>
        </is>
      </c>
      <c r="D8" s="43" t="inlineStr">
        <is>
          <t>Confirm display renders</t>
        </is>
      </c>
      <c r="E8" s="43" t="inlineStr">
        <is>
          <t>Observe ELECROW screen</t>
        </is>
      </c>
      <c r="F8" s="43" t="inlineStr">
        <is>
          <t>Power/default page appears</t>
        </is>
      </c>
      <c r="G8" s="55" t="inlineStr">
        <is>
          <t>PENDING</t>
        </is>
      </c>
      <c r="H8" s="43" t="str"/>
      <c r="I8" s="43" t="str"/>
      <c r="J8" s="43" t="str"/>
      <c r="K8" s="59" t="inlineStr">
        <is>
          <t>Critical</t>
        </is>
      </c>
      <c r="L8" s="43" t="inlineStr">
        <is>
          <t>Hardware</t>
        </is>
      </c>
      <c r="M8" s="43" t="inlineStr">
        <is>
          <t>Yes</t>
        </is>
      </c>
      <c r="N8" s="43" t="inlineStr">
        <is>
          <t>No</t>
        </is>
      </c>
      <c r="O8" s="43" t="str"/>
    </row>
    <row r="9">
      <c r="A9" s="54" t="inlineStr">
        <is>
          <t>DOOR-FLASH-05</t>
        </is>
      </c>
      <c r="B9" s="44" t="inlineStr">
        <is>
          <t>Stage 3 — Door Flash</t>
        </is>
      </c>
      <c r="C9" s="44" t="inlineStr">
        <is>
          <t>Network</t>
        </is>
      </c>
      <c r="D9" s="44" t="inlineStr">
        <is>
          <t>Confirm HA API connection</t>
        </is>
      </c>
      <c r="E9" s="44" t="inlineStr">
        <is>
          <t>Check HA/ESPHome dashboard</t>
        </is>
      </c>
      <c r="F9" s="44" t="inlineStr">
        <is>
          <t>Door-side appears online</t>
        </is>
      </c>
      <c r="G9" s="55" t="inlineStr">
        <is>
          <t>PENDING</t>
        </is>
      </c>
      <c r="H9" s="44" t="str"/>
      <c r="I9" s="44" t="str"/>
      <c r="J9" s="44" t="str"/>
      <c r="K9" s="60" t="inlineStr">
        <is>
          <t>Critical</t>
        </is>
      </c>
      <c r="L9" s="44" t="inlineStr">
        <is>
          <t>Home Assistant</t>
        </is>
      </c>
      <c r="M9" s="44" t="inlineStr">
        <is>
          <t>Yes</t>
        </is>
      </c>
      <c r="N9" s="44" t="inlineStr">
        <is>
          <t>No</t>
        </is>
      </c>
      <c r="O9" s="44" t="str"/>
    </row>
    <row r="10">
      <c r="A10" s="57" t="inlineStr">
        <is>
          <t>DOOR-FLASH-06</t>
        </is>
      </c>
      <c r="B10" s="43" t="inlineStr">
        <is>
          <t>Stage 3 — Door Flash</t>
        </is>
      </c>
      <c r="C10" s="43" t="inlineStr">
        <is>
          <t>Entity</t>
        </is>
      </c>
      <c r="D10" s="43" t="inlineStr">
        <is>
          <t>Confirm active theme diagnostic</t>
        </is>
      </c>
      <c r="E10" s="43" t="inlineStr">
        <is>
          <t>Check HA entities</t>
        </is>
      </c>
      <c r="F10" s="43" t="inlineStr">
        <is>
          <t>Active theme text sensor appears/updates if implemented</t>
        </is>
      </c>
      <c r="G10" s="55" t="inlineStr">
        <is>
          <t>PENDING</t>
        </is>
      </c>
      <c r="H10" s="43" t="str"/>
      <c r="I10" s="43" t="str"/>
      <c r="J10" s="43" t="str"/>
      <c r="K10" s="43" t="inlineStr">
        <is>
          <t>Medium</t>
        </is>
      </c>
      <c r="L10" s="43" t="inlineStr">
        <is>
          <t>Home Assistant</t>
        </is>
      </c>
      <c r="M10" s="43" t="inlineStr">
        <is>
          <t>No</t>
        </is>
      </c>
      <c r="N10" s="43" t="inlineStr">
        <is>
          <t>No</t>
        </is>
      </c>
      <c r="O10" s="43" t="str"/>
    </row>
    <row r="11">
      <c r="A11" s="32" t="n"/>
      <c r="B11" s="32" t="n"/>
      <c r="C11" s="32" t="n"/>
      <c r="D11" s="32" t="n"/>
      <c r="E11" s="32" t="n"/>
      <c r="F11" s="32" t="n"/>
      <c r="G11" s="32" t="n"/>
      <c r="H11" s="32" t="n"/>
      <c r="I11" s="32" t="n"/>
      <c r="J11" s="32" t="n"/>
      <c r="K11" s="32" t="n"/>
      <c r="L11" s="32" t="n"/>
      <c r="M11" s="32" t="n"/>
      <c r="N11" s="32" t="n"/>
      <c r="O11" s="32" t="n"/>
    </row>
    <row r="12">
      <c r="A12" s="32" t="n"/>
      <c r="B12" s="32" t="n"/>
      <c r="C12" s="32" t="n"/>
      <c r="D12" s="32" t="n"/>
      <c r="E12" s="32" t="n"/>
      <c r="F12" s="32" t="n"/>
      <c r="G12" s="32" t="n"/>
      <c r="H12" s="32" t="n"/>
      <c r="I12" s="32" t="n"/>
      <c r="J12" s="32" t="n"/>
      <c r="K12" s="32" t="n"/>
      <c r="L12" s="32" t="n"/>
      <c r="M12" s="32" t="n"/>
      <c r="N12" s="32" t="n"/>
      <c r="O12" s="32" t="n"/>
    </row>
    <row r="13">
      <c r="A13" s="32" t="n"/>
      <c r="B13" s="32" t="n"/>
      <c r="C13" s="32" t="n"/>
      <c r="D13" s="32" t="n"/>
      <c r="E13" s="32" t="n"/>
      <c r="F13" s="32" t="n"/>
      <c r="G13" s="32" t="n"/>
      <c r="H13" s="32" t="n"/>
      <c r="I13" s="32" t="n"/>
      <c r="J13" s="32" t="n"/>
      <c r="K13" s="32" t="n"/>
      <c r="L13" s="32" t="n"/>
      <c r="M13" s="32" t="n"/>
      <c r="N13" s="32" t="n"/>
      <c r="O13" s="32" t="n"/>
    </row>
    <row r="14">
      <c r="A14" s="32" t="n"/>
      <c r="B14" s="32" t="n"/>
      <c r="C14" s="32" t="n"/>
      <c r="D14" s="32" t="n"/>
      <c r="E14" s="32" t="n"/>
      <c r="F14" s="32" t="n"/>
      <c r="G14" s="32" t="n"/>
      <c r="H14" s="32" t="n"/>
      <c r="I14" s="32" t="n"/>
      <c r="J14" s="32" t="n"/>
      <c r="K14" s="32" t="n"/>
      <c r="L14" s="32" t="n"/>
      <c r="M14" s="32" t="n"/>
      <c r="N14" s="32" t="n"/>
      <c r="O14" s="32" t="n"/>
    </row>
    <row r="15">
      <c r="A15" s="32" t="n"/>
      <c r="B15" s="32" t="n"/>
      <c r="C15" s="32" t="n"/>
      <c r="D15" s="32" t="n"/>
      <c r="E15" s="32" t="n"/>
      <c r="F15" s="32" t="n"/>
      <c r="G15" s="32" t="n"/>
      <c r="H15" s="32" t="n"/>
      <c r="I15" s="32" t="n"/>
      <c r="J15" s="32" t="n"/>
      <c r="K15" s="32" t="n"/>
      <c r="L15" s="32" t="n"/>
      <c r="M15" s="32" t="n"/>
      <c r="N15" s="32" t="n"/>
      <c r="O15" s="32" t="n"/>
    </row>
    <row r="16">
      <c r="A16" s="32" t="n"/>
      <c r="B16" s="32" t="n"/>
      <c r="C16" s="32" t="n"/>
      <c r="D16" s="32" t="n"/>
      <c r="E16" s="32" t="n"/>
      <c r="F16" s="32" t="n"/>
      <c r="G16" s="32" t="n"/>
      <c r="H16" s="32" t="n"/>
      <c r="I16" s="32" t="n"/>
      <c r="J16" s="32" t="n"/>
      <c r="K16" s="32" t="n"/>
      <c r="L16" s="32" t="n"/>
      <c r="M16" s="32" t="n"/>
      <c r="N16" s="32" t="n"/>
      <c r="O16" s="32" t="n"/>
    </row>
    <row r="17">
      <c r="A17" s="32" t="n"/>
      <c r="B17" s="32" t="n"/>
      <c r="C17" s="32" t="n"/>
      <c r="D17" s="32" t="n"/>
      <c r="E17" s="32" t="n"/>
      <c r="F17" s="32" t="n"/>
      <c r="G17" s="32" t="n"/>
      <c r="H17" s="32" t="n"/>
      <c r="I17" s="32" t="n"/>
      <c r="J17" s="32" t="n"/>
      <c r="K17" s="32" t="n"/>
      <c r="L17" s="32" t="n"/>
      <c r="M17" s="32" t="n"/>
      <c r="N17" s="32" t="n"/>
      <c r="O17" s="32" t="n"/>
    </row>
    <row r="18">
      <c r="A18" s="32" t="n"/>
      <c r="B18" s="32" t="n"/>
      <c r="C18" s="32" t="n"/>
      <c r="D18" s="32" t="n"/>
      <c r="E18" s="32" t="n"/>
      <c r="F18" s="32" t="n"/>
      <c r="G18" s="32" t="n"/>
      <c r="H18" s="32" t="n"/>
      <c r="I18" s="32" t="n"/>
      <c r="J18" s="32" t="n"/>
      <c r="K18" s="32" t="n"/>
      <c r="L18" s="32" t="n"/>
      <c r="M18" s="32" t="n"/>
      <c r="N18" s="32" t="n"/>
      <c r="O18" s="32" t="n"/>
    </row>
    <row r="19">
      <c r="A19" s="32" t="n"/>
      <c r="B19" s="32" t="n"/>
      <c r="C19" s="32" t="n"/>
      <c r="D19" s="32" t="n"/>
      <c r="E19" s="32" t="n"/>
      <c r="F19" s="32" t="n"/>
      <c r="G19" s="32" t="n"/>
      <c r="H19" s="32" t="n"/>
      <c r="I19" s="32" t="n"/>
      <c r="J19" s="32" t="n"/>
      <c r="K19" s="32" t="n"/>
      <c r="L19" s="32" t="n"/>
      <c r="M19" s="32" t="n"/>
      <c r="N19" s="32" t="n"/>
      <c r="O19" s="32" t="n"/>
    </row>
    <row r="20">
      <c r="A20" s="32" t="n"/>
      <c r="B20" s="32" t="n"/>
      <c r="C20" s="32" t="n"/>
      <c r="D20" s="32" t="n"/>
      <c r="E20" s="32" t="n"/>
      <c r="F20" s="32" t="n"/>
      <c r="G20" s="32" t="n"/>
      <c r="H20" s="32" t="n"/>
      <c r="I20" s="32" t="n"/>
      <c r="J20" s="32" t="n"/>
      <c r="K20" s="32" t="n"/>
      <c r="L20" s="32" t="n"/>
      <c r="M20" s="32" t="n"/>
      <c r="N20" s="32" t="n"/>
      <c r="O20" s="32" t="n"/>
    </row>
    <row r="21">
      <c r="A21" s="32" t="n"/>
      <c r="B21" s="32" t="n"/>
      <c r="C21" s="32" t="n"/>
      <c r="D21" s="32" t="n"/>
      <c r="E21" s="32" t="n"/>
      <c r="F21" s="32" t="n"/>
      <c r="G21" s="32" t="n"/>
      <c r="H21" s="32" t="n"/>
      <c r="I21" s="32" t="n"/>
      <c r="J21" s="32" t="n"/>
      <c r="K21" s="32" t="n"/>
      <c r="L21" s="32" t="n"/>
      <c r="M21" s="32" t="n"/>
      <c r="N21" s="32" t="n"/>
      <c r="O21" s="32" t="n"/>
    </row>
    <row r="22">
      <c r="A22" s="32" t="n"/>
      <c r="B22" s="32" t="n"/>
      <c r="C22" s="32" t="n"/>
      <c r="D22" s="32" t="n"/>
      <c r="E22" s="32" t="n"/>
      <c r="F22" s="32" t="n"/>
      <c r="G22" s="32" t="n"/>
      <c r="H22" s="32" t="n"/>
      <c r="I22" s="32" t="n"/>
      <c r="J22" s="32" t="n"/>
      <c r="K22" s="32" t="n"/>
      <c r="L22" s="32" t="n"/>
      <c r="M22" s="32" t="n"/>
      <c r="N22" s="32" t="n"/>
      <c r="O22" s="32" t="n"/>
    </row>
    <row r="23">
      <c r="A23" s="32" t="n"/>
      <c r="B23" s="32" t="n"/>
      <c r="C23" s="32" t="n"/>
      <c r="D23" s="32" t="n"/>
      <c r="E23" s="32" t="n"/>
      <c r="F23" s="32" t="n"/>
      <c r="G23" s="32" t="n"/>
      <c r="H23" s="32" t="n"/>
      <c r="I23" s="32" t="n"/>
      <c r="J23" s="32" t="n"/>
      <c r="K23" s="32" t="n"/>
      <c r="L23" s="32" t="n"/>
      <c r="M23" s="32" t="n"/>
      <c r="N23" s="32" t="n"/>
      <c r="O23" s="32" t="n"/>
    </row>
    <row r="24">
      <c r="A24" s="32" t="n"/>
      <c r="B24" s="32" t="n"/>
      <c r="C24" s="32" t="n"/>
      <c r="D24" s="32" t="n"/>
      <c r="E24" s="32" t="n"/>
      <c r="F24" s="32" t="n"/>
      <c r="G24" s="32" t="n"/>
      <c r="H24" s="32" t="n"/>
      <c r="I24" s="32" t="n"/>
      <c r="J24" s="32" t="n"/>
      <c r="K24" s="32" t="n"/>
      <c r="L24" s="32" t="n"/>
      <c r="M24" s="32" t="n"/>
      <c r="N24" s="32" t="n"/>
      <c r="O24" s="32" t="n"/>
    </row>
    <row r="25">
      <c r="A25" s="32" t="n"/>
      <c r="B25" s="32" t="n"/>
      <c r="C25" s="32" t="n"/>
      <c r="D25" s="32" t="n"/>
      <c r="E25" s="32" t="n"/>
      <c r="F25" s="32" t="n"/>
      <c r="G25" s="32" t="n"/>
      <c r="H25" s="32" t="n"/>
      <c r="I25" s="32" t="n"/>
      <c r="J25" s="32" t="n"/>
      <c r="K25" s="32" t="n"/>
      <c r="L25" s="32" t="n"/>
      <c r="M25" s="32" t="n"/>
      <c r="N25" s="32" t="n"/>
      <c r="O25" s="32" t="n"/>
    </row>
    <row r="26">
      <c r="A26" s="32" t="n"/>
      <c r="B26" s="32" t="n"/>
      <c r="C26" s="32" t="n"/>
      <c r="D26" s="32" t="n"/>
      <c r="E26" s="32" t="n"/>
      <c r="F26" s="32" t="n"/>
      <c r="G26" s="32" t="n"/>
      <c r="H26" s="32" t="n"/>
      <c r="I26" s="32" t="n"/>
      <c r="J26" s="32" t="n"/>
      <c r="K26" s="32" t="n"/>
      <c r="L26" s="32" t="n"/>
      <c r="M26" s="32" t="n"/>
      <c r="N26" s="32" t="n"/>
      <c r="O26" s="32" t="n"/>
    </row>
    <row r="27">
      <c r="A27" s="32" t="n"/>
      <c r="B27" s="32" t="n"/>
      <c r="C27" s="32" t="n"/>
      <c r="D27" s="32" t="n"/>
      <c r="E27" s="32" t="n"/>
      <c r="F27" s="32" t="n"/>
      <c r="G27" s="32" t="n"/>
      <c r="H27" s="32" t="n"/>
      <c r="I27" s="32" t="n"/>
      <c r="J27" s="32" t="n"/>
      <c r="K27" s="32" t="n"/>
      <c r="L27" s="32" t="n"/>
      <c r="M27" s="32" t="n"/>
      <c r="N27" s="32" t="n"/>
      <c r="O27" s="32" t="n"/>
    </row>
    <row r="28">
      <c r="A28" s="32" t="n"/>
      <c r="B28" s="32" t="n"/>
      <c r="C28" s="32" t="n"/>
      <c r="D28" s="32" t="n"/>
      <c r="E28" s="32" t="n"/>
      <c r="F28" s="32" t="n"/>
      <c r="G28" s="32" t="n"/>
      <c r="H28" s="32" t="n"/>
      <c r="I28" s="32" t="n"/>
      <c r="J28" s="32" t="n"/>
      <c r="K28" s="32" t="n"/>
      <c r="L28" s="32" t="n"/>
      <c r="M28" s="32" t="n"/>
      <c r="N28" s="32" t="n"/>
      <c r="O28" s="32" t="n"/>
    </row>
    <row r="29">
      <c r="A29" s="32" t="n"/>
      <c r="B29" s="32" t="n"/>
      <c r="C29" s="32" t="n"/>
      <c r="D29" s="32" t="n"/>
      <c r="E29" s="32" t="n"/>
      <c r="F29" s="32" t="n"/>
      <c r="G29" s="32" t="n"/>
      <c r="H29" s="32" t="n"/>
      <c r="I29" s="32" t="n"/>
      <c r="J29" s="32" t="n"/>
      <c r="K29" s="32" t="n"/>
      <c r="L29" s="32" t="n"/>
      <c r="M29" s="32" t="n"/>
      <c r="N29" s="32" t="n"/>
      <c r="O29" s="32" t="n"/>
    </row>
    <row r="30">
      <c r="A30" s="32" t="n"/>
      <c r="B30" s="32" t="n"/>
      <c r="C30" s="32" t="n"/>
      <c r="D30" s="32" t="n"/>
      <c r="E30" s="32" t="n"/>
      <c r="F30" s="32" t="n"/>
      <c r="G30" s="32" t="n"/>
      <c r="H30" s="32" t="n"/>
      <c r="I30" s="32" t="n"/>
      <c r="J30" s="32" t="n"/>
      <c r="K30" s="32" t="n"/>
      <c r="L30" s="32" t="n"/>
      <c r="M30" s="32" t="n"/>
      <c r="N30" s="32" t="n"/>
      <c r="O30" s="32" t="n"/>
    </row>
    <row r="31">
      <c r="A31" s="32" t="n"/>
      <c r="B31" s="32" t="n"/>
      <c r="C31" s="32" t="n"/>
      <c r="D31" s="32" t="n"/>
      <c r="E31" s="32" t="n"/>
      <c r="F31" s="32" t="n"/>
      <c r="G31" s="32" t="n"/>
      <c r="H31" s="32" t="n"/>
      <c r="I31" s="32" t="n"/>
      <c r="J31" s="32" t="n"/>
      <c r="K31" s="32" t="n"/>
      <c r="L31" s="32" t="n"/>
      <c r="M31" s="32" t="n"/>
      <c r="N31" s="32" t="n"/>
      <c r="O31" s="32" t="n"/>
    </row>
    <row r="32">
      <c r="A32" s="32" t="n"/>
      <c r="B32" s="32" t="n"/>
      <c r="C32" s="32" t="n"/>
      <c r="D32" s="32" t="n"/>
      <c r="E32" s="32" t="n"/>
      <c r="F32" s="32" t="n"/>
      <c r="G32" s="32" t="n"/>
      <c r="H32" s="32" t="n"/>
      <c r="I32" s="32" t="n"/>
      <c r="J32" s="32" t="n"/>
      <c r="K32" s="32" t="n"/>
      <c r="L32" s="32" t="n"/>
      <c r="M32" s="32" t="n"/>
      <c r="N32" s="32" t="n"/>
      <c r="O32" s="32" t="n"/>
    </row>
    <row r="33">
      <c r="A33" s="32" t="n"/>
      <c r="B33" s="32" t="n"/>
      <c r="C33" s="32" t="n"/>
      <c r="D33" s="32" t="n"/>
      <c r="E33" s="32" t="n"/>
      <c r="F33" s="32" t="n"/>
      <c r="G33" s="32" t="n"/>
      <c r="H33" s="32" t="n"/>
      <c r="I33" s="32" t="n"/>
      <c r="J33" s="32" t="n"/>
      <c r="K33" s="32" t="n"/>
      <c r="L33" s="32" t="n"/>
      <c r="M33" s="32" t="n"/>
      <c r="N33" s="32" t="n"/>
      <c r="O33" s="32" t="n"/>
    </row>
    <row r="34">
      <c r="A34" s="32" t="n"/>
      <c r="B34" s="32" t="n"/>
      <c r="C34" s="32" t="n"/>
      <c r="D34" s="32" t="n"/>
      <c r="E34" s="32" t="n"/>
      <c r="F34" s="32" t="n"/>
      <c r="G34" s="32" t="n"/>
      <c r="H34" s="32" t="n"/>
      <c r="I34" s="32" t="n"/>
      <c r="J34" s="32" t="n"/>
      <c r="K34" s="32" t="n"/>
      <c r="L34" s="32" t="n"/>
      <c r="M34" s="32" t="n"/>
      <c r="N34" s="32" t="n"/>
      <c r="O34" s="32" t="n"/>
    </row>
    <row r="35">
      <c r="A35" s="32" t="n"/>
      <c r="B35" s="32" t="n"/>
      <c r="C35" s="32" t="n"/>
      <c r="D35" s="32" t="n"/>
      <c r="E35" s="32" t="n"/>
      <c r="F35" s="32" t="n"/>
      <c r="G35" s="32" t="n"/>
      <c r="H35" s="32" t="n"/>
      <c r="I35" s="32" t="n"/>
      <c r="J35" s="32" t="n"/>
      <c r="K35" s="32" t="n"/>
      <c r="L35" s="32" t="n"/>
      <c r="M35" s="32" t="n"/>
      <c r="N35" s="32" t="n"/>
      <c r="O35" s="32" t="n"/>
    </row>
    <row r="36">
      <c r="A36" s="32" t="n"/>
      <c r="B36" s="32" t="n"/>
      <c r="C36" s="32" t="n"/>
      <c r="D36" s="32" t="n"/>
      <c r="E36" s="32" t="n"/>
      <c r="F36" s="32" t="n"/>
      <c r="G36" s="32" t="n"/>
      <c r="H36" s="32" t="n"/>
      <c r="I36" s="32" t="n"/>
      <c r="J36" s="32" t="n"/>
      <c r="K36" s="32" t="n"/>
      <c r="L36" s="32" t="n"/>
      <c r="M36" s="32" t="n"/>
      <c r="N36" s="32" t="n"/>
      <c r="O36" s="32" t="n"/>
    </row>
    <row r="37">
      <c r="A37" s="32" t="n"/>
      <c r="B37" s="32" t="n"/>
      <c r="C37" s="32" t="n"/>
      <c r="D37" s="32" t="n"/>
      <c r="E37" s="32" t="n"/>
      <c r="F37" s="32" t="n"/>
      <c r="G37" s="32" t="n"/>
      <c r="H37" s="32" t="n"/>
      <c r="I37" s="32" t="n"/>
      <c r="J37" s="32" t="n"/>
      <c r="K37" s="32" t="n"/>
      <c r="L37" s="32" t="n"/>
      <c r="M37" s="32" t="n"/>
      <c r="N37" s="32" t="n"/>
      <c r="O37" s="32" t="n"/>
    </row>
    <row r="38">
      <c r="A38" s="32" t="n"/>
      <c r="B38" s="32" t="n"/>
      <c r="C38" s="32" t="n"/>
      <c r="D38" s="32" t="n"/>
      <c r="E38" s="32" t="n"/>
      <c r="F38" s="32" t="n"/>
      <c r="G38" s="32" t="n"/>
      <c r="H38" s="32" t="n"/>
      <c r="I38" s="32" t="n"/>
      <c r="J38" s="32" t="n"/>
      <c r="K38" s="32" t="n"/>
      <c r="L38" s="32" t="n"/>
      <c r="M38" s="32" t="n"/>
      <c r="N38" s="32" t="n"/>
      <c r="O38" s="32" t="n"/>
    </row>
    <row r="39">
      <c r="A39" s="32" t="n"/>
      <c r="B39" s="32" t="n"/>
      <c r="C39" s="32" t="n"/>
      <c r="D39" s="32" t="n"/>
      <c r="E39" s="32" t="n"/>
      <c r="F39" s="32" t="n"/>
      <c r="G39" s="32" t="n"/>
      <c r="H39" s="32" t="n"/>
      <c r="I39" s="32" t="n"/>
      <c r="J39" s="32" t="n"/>
      <c r="K39" s="32" t="n"/>
      <c r="L39" s="32" t="n"/>
      <c r="M39" s="32" t="n"/>
      <c r="N39" s="32" t="n"/>
      <c r="O39" s="32" t="n"/>
    </row>
    <row r="40">
      <c r="A40" s="32" t="n"/>
      <c r="B40" s="32" t="n"/>
      <c r="C40" s="32" t="n"/>
      <c r="D40" s="32" t="n"/>
      <c r="E40" s="32" t="n"/>
      <c r="F40" s="32" t="n"/>
      <c r="G40" s="32" t="n"/>
      <c r="H40" s="32" t="n"/>
      <c r="I40" s="32" t="n"/>
      <c r="J40" s="32" t="n"/>
      <c r="K40" s="32" t="n"/>
      <c r="L40" s="32" t="n"/>
      <c r="M40" s="32" t="n"/>
      <c r="N40" s="32" t="n"/>
      <c r="O40" s="32" t="n"/>
    </row>
    <row r="41">
      <c r="A41" s="32" t="n"/>
      <c r="B41" s="32" t="n"/>
      <c r="C41" s="32" t="n"/>
      <c r="D41" s="32" t="n"/>
      <c r="E41" s="32" t="n"/>
      <c r="F41" s="32" t="n"/>
      <c r="G41" s="32" t="n"/>
      <c r="H41" s="32" t="n"/>
      <c r="I41" s="32" t="n"/>
      <c r="J41" s="32" t="n"/>
      <c r="K41" s="32" t="n"/>
      <c r="L41" s="32" t="n"/>
      <c r="M41" s="32" t="n"/>
      <c r="N41" s="32" t="n"/>
      <c r="O41" s="32" t="n"/>
    </row>
    <row r="42">
      <c r="A42" s="32" t="n"/>
      <c r="B42" s="32" t="n"/>
      <c r="C42" s="32" t="n"/>
      <c r="D42" s="32" t="n"/>
      <c r="E42" s="32" t="n"/>
      <c r="F42" s="32" t="n"/>
      <c r="G42" s="32" t="n"/>
      <c r="H42" s="32" t="n"/>
      <c r="I42" s="32" t="n"/>
      <c r="J42" s="32" t="n"/>
      <c r="K42" s="32" t="n"/>
      <c r="L42" s="32" t="n"/>
      <c r="M42" s="32" t="n"/>
      <c r="N42" s="32" t="n"/>
      <c r="O42" s="32" t="n"/>
    </row>
    <row r="43">
      <c r="A43" s="32" t="n"/>
      <c r="B43" s="32" t="n"/>
      <c r="C43" s="32" t="n"/>
      <c r="D43" s="32" t="n"/>
      <c r="E43" s="32" t="n"/>
      <c r="F43" s="32" t="n"/>
      <c r="G43" s="32" t="n"/>
      <c r="H43" s="32" t="n"/>
      <c r="I43" s="32" t="n"/>
      <c r="J43" s="32" t="n"/>
      <c r="K43" s="32" t="n"/>
      <c r="L43" s="32" t="n"/>
      <c r="M43" s="32" t="n"/>
      <c r="N43" s="32" t="n"/>
      <c r="O43" s="32" t="n"/>
    </row>
    <row r="44">
      <c r="A44" s="32" t="n"/>
      <c r="B44" s="32" t="n"/>
      <c r="C44" s="32" t="n"/>
      <c r="D44" s="32" t="n"/>
      <c r="E44" s="32" t="n"/>
      <c r="F44" s="32" t="n"/>
      <c r="G44" s="32" t="n"/>
      <c r="H44" s="32" t="n"/>
      <c r="I44" s="32" t="n"/>
      <c r="J44" s="32" t="n"/>
      <c r="K44" s="32" t="n"/>
      <c r="L44" s="32" t="n"/>
      <c r="M44" s="32" t="n"/>
      <c r="N44" s="32" t="n"/>
      <c r="O44" s="32" t="n"/>
    </row>
    <row r="45">
      <c r="A45" s="32" t="n"/>
      <c r="B45" s="32" t="n"/>
      <c r="C45" s="32" t="n"/>
      <c r="D45" s="32" t="n"/>
      <c r="E45" s="32" t="n"/>
      <c r="F45" s="32" t="n"/>
      <c r="G45" s="32" t="n"/>
      <c r="H45" s="32" t="n"/>
      <c r="I45" s="32" t="n"/>
      <c r="J45" s="32" t="n"/>
      <c r="K45" s="32" t="n"/>
      <c r="L45" s="32" t="n"/>
      <c r="M45" s="32" t="n"/>
      <c r="N45" s="32" t="n"/>
      <c r="O45" s="32" t="n"/>
    </row>
    <row r="46">
      <c r="A46" s="32" t="n"/>
      <c r="B46" s="32" t="n"/>
      <c r="C46" s="32" t="n"/>
      <c r="D46" s="32" t="n"/>
      <c r="E46" s="32" t="n"/>
      <c r="F46" s="32" t="n"/>
      <c r="G46" s="32" t="n"/>
      <c r="H46" s="32" t="n"/>
      <c r="I46" s="32" t="n"/>
      <c r="J46" s="32" t="n"/>
      <c r="K46" s="32" t="n"/>
      <c r="L46" s="32" t="n"/>
      <c r="M46" s="32" t="n"/>
      <c r="N46" s="32" t="n"/>
      <c r="O46" s="32" t="n"/>
    </row>
    <row r="47">
      <c r="A47" s="32" t="n"/>
      <c r="B47" s="32" t="n"/>
      <c r="C47" s="32" t="n"/>
      <c r="D47" s="32" t="n"/>
      <c r="E47" s="32" t="n"/>
      <c r="F47" s="32" t="n"/>
      <c r="G47" s="32" t="n"/>
      <c r="H47" s="32" t="n"/>
      <c r="I47" s="32" t="n"/>
      <c r="J47" s="32" t="n"/>
      <c r="K47" s="32" t="n"/>
      <c r="L47" s="32" t="n"/>
      <c r="M47" s="32" t="n"/>
      <c r="N47" s="32" t="n"/>
      <c r="O47" s="32" t="n"/>
    </row>
    <row r="48">
      <c r="A48" s="32" t="n"/>
      <c r="B48" s="32" t="n"/>
      <c r="C48" s="32" t="n"/>
      <c r="D48" s="32" t="n"/>
      <c r="E48" s="32" t="n"/>
      <c r="F48" s="32" t="n"/>
      <c r="G48" s="32" t="n"/>
      <c r="H48" s="32" t="n"/>
      <c r="I48" s="32" t="n"/>
      <c r="J48" s="32" t="n"/>
      <c r="K48" s="32" t="n"/>
      <c r="L48" s="32" t="n"/>
      <c r="M48" s="32" t="n"/>
      <c r="N48" s="32" t="n"/>
      <c r="O48" s="32" t="n"/>
    </row>
    <row r="49">
      <c r="A49" s="32" t="n"/>
      <c r="B49" s="32" t="n"/>
      <c r="C49" s="32" t="n"/>
      <c r="D49" s="32" t="n"/>
      <c r="E49" s="32" t="n"/>
      <c r="F49" s="32" t="n"/>
      <c r="G49" s="32" t="n"/>
      <c r="H49" s="32" t="n"/>
      <c r="I49" s="32" t="n"/>
      <c r="J49" s="32" t="n"/>
      <c r="K49" s="32" t="n"/>
      <c r="L49" s="32" t="n"/>
      <c r="M49" s="32" t="n"/>
      <c r="N49" s="32" t="n"/>
      <c r="O49" s="32" t="n"/>
    </row>
    <row r="50">
      <c r="A50" s="32" t="n"/>
      <c r="B50" s="32" t="n"/>
      <c r="C50" s="32" t="n"/>
      <c r="D50" s="32" t="n"/>
      <c r="E50" s="32" t="n"/>
      <c r="F50" s="32" t="n"/>
      <c r="G50" s="32" t="n"/>
      <c r="H50" s="32" t="n"/>
      <c r="I50" s="32" t="n"/>
      <c r="J50" s="32" t="n"/>
      <c r="K50" s="32" t="n"/>
      <c r="L50" s="32" t="n"/>
      <c r="M50" s="32" t="n"/>
      <c r="N50" s="32" t="n"/>
      <c r="O50" s="32" t="n"/>
    </row>
    <row r="51">
      <c r="A51" s="32" t="n"/>
      <c r="B51" s="32" t="n"/>
      <c r="C51" s="32" t="n"/>
      <c r="D51" s="32" t="n"/>
      <c r="E51" s="32" t="n"/>
      <c r="F51" s="32" t="n"/>
      <c r="G51" s="32" t="n"/>
      <c r="H51" s="32" t="n"/>
      <c r="I51" s="32" t="n"/>
      <c r="J51" s="32" t="n"/>
      <c r="K51" s="32" t="n"/>
      <c r="L51" s="32" t="n"/>
      <c r="M51" s="32" t="n"/>
      <c r="N51" s="32" t="n"/>
      <c r="O51" s="32" t="n"/>
    </row>
    <row r="52">
      <c r="A52" s="32" t="n"/>
      <c r="B52" s="32" t="n"/>
      <c r="C52" s="32" t="n"/>
      <c r="D52" s="32" t="n"/>
      <c r="E52" s="32" t="n"/>
      <c r="F52" s="32" t="n"/>
      <c r="G52" s="32" t="n"/>
      <c r="H52" s="32" t="n"/>
      <c r="I52" s="32" t="n"/>
      <c r="J52" s="32" t="n"/>
      <c r="K52" s="32" t="n"/>
      <c r="L52" s="32" t="n"/>
      <c r="M52" s="32" t="n"/>
      <c r="N52" s="32" t="n"/>
      <c r="O52" s="32" t="n"/>
    </row>
    <row r="53">
      <c r="A53" s="32" t="n"/>
      <c r="B53" s="32" t="n"/>
      <c r="C53" s="32" t="n"/>
      <c r="D53" s="32" t="n"/>
      <c r="E53" s="32" t="n"/>
      <c r="F53" s="32" t="n"/>
      <c r="G53" s="32" t="n"/>
      <c r="H53" s="32" t="n"/>
      <c r="I53" s="32" t="n"/>
      <c r="J53" s="32" t="n"/>
      <c r="K53" s="32" t="n"/>
      <c r="L53" s="32" t="n"/>
      <c r="M53" s="32" t="n"/>
      <c r="N53" s="32" t="n"/>
      <c r="O53" s="32" t="n"/>
    </row>
    <row r="54">
      <c r="A54" s="32" t="n"/>
      <c r="B54" s="32" t="n"/>
      <c r="C54" s="32" t="n"/>
      <c r="D54" s="32" t="n"/>
      <c r="E54" s="32" t="n"/>
      <c r="F54" s="32" t="n"/>
      <c r="G54" s="32" t="n"/>
      <c r="H54" s="32" t="n"/>
      <c r="I54" s="32" t="n"/>
      <c r="J54" s="32" t="n"/>
      <c r="K54" s="32" t="n"/>
      <c r="L54" s="32" t="n"/>
      <c r="M54" s="32" t="n"/>
      <c r="N54" s="32" t="n"/>
      <c r="O54" s="32" t="n"/>
    </row>
    <row r="55">
      <c r="A55" s="32" t="n"/>
      <c r="B55" s="32" t="n"/>
      <c r="C55" s="32" t="n"/>
      <c r="D55" s="32" t="n"/>
      <c r="E55" s="32" t="n"/>
      <c r="F55" s="32" t="n"/>
      <c r="G55" s="32" t="n"/>
      <c r="H55" s="32" t="n"/>
      <c r="I55" s="32" t="n"/>
      <c r="J55" s="32" t="n"/>
      <c r="K55" s="32" t="n"/>
      <c r="L55" s="32" t="n"/>
      <c r="M55" s="32" t="n"/>
      <c r="N55" s="32" t="n"/>
      <c r="O55" s="32" t="n"/>
    </row>
    <row r="56">
      <c r="A56" s="32" t="n"/>
      <c r="B56" s="32" t="n"/>
      <c r="C56" s="32" t="n"/>
      <c r="D56" s="32" t="n"/>
      <c r="E56" s="32" t="n"/>
      <c r="F56" s="32" t="n"/>
      <c r="G56" s="32" t="n"/>
      <c r="H56" s="32" t="n"/>
      <c r="I56" s="32" t="n"/>
      <c r="J56" s="32" t="n"/>
      <c r="K56" s="32" t="n"/>
      <c r="L56" s="32" t="n"/>
      <c r="M56" s="32" t="n"/>
      <c r="N56" s="32" t="n"/>
      <c r="O56" s="32" t="n"/>
    </row>
    <row r="57">
      <c r="A57" s="32" t="n"/>
      <c r="B57" s="32" t="n"/>
      <c r="C57" s="32" t="n"/>
      <c r="D57" s="32" t="n"/>
      <c r="E57" s="32" t="n"/>
      <c r="F57" s="32" t="n"/>
      <c r="G57" s="32" t="n"/>
      <c r="H57" s="32" t="n"/>
      <c r="I57" s="32" t="n"/>
      <c r="J57" s="32" t="n"/>
      <c r="K57" s="32" t="n"/>
      <c r="L57" s="32" t="n"/>
      <c r="M57" s="32" t="n"/>
      <c r="N57" s="32" t="n"/>
      <c r="O57" s="32" t="n"/>
    </row>
    <row r="58">
      <c r="A58" s="32" t="n"/>
      <c r="B58" s="32" t="n"/>
      <c r="C58" s="32" t="n"/>
      <c r="D58" s="32" t="n"/>
      <c r="E58" s="32" t="n"/>
      <c r="F58" s="32" t="n"/>
      <c r="G58" s="32" t="n"/>
      <c r="H58" s="32" t="n"/>
      <c r="I58" s="32" t="n"/>
      <c r="J58" s="32" t="n"/>
      <c r="K58" s="32" t="n"/>
      <c r="L58" s="32" t="n"/>
      <c r="M58" s="32" t="n"/>
      <c r="N58" s="32" t="n"/>
      <c r="O58" s="32" t="n"/>
    </row>
    <row r="59">
      <c r="A59" s="32" t="n"/>
      <c r="B59" s="32" t="n"/>
      <c r="C59" s="32" t="n"/>
      <c r="D59" s="32" t="n"/>
      <c r="E59" s="32" t="n"/>
      <c r="F59" s="32" t="n"/>
      <c r="G59" s="32" t="n"/>
      <c r="H59" s="32" t="n"/>
      <c r="I59" s="32" t="n"/>
      <c r="J59" s="32" t="n"/>
      <c r="K59" s="32" t="n"/>
      <c r="L59" s="32" t="n"/>
      <c r="M59" s="32" t="n"/>
      <c r="N59" s="32" t="n"/>
      <c r="O59" s="32" t="n"/>
    </row>
    <row r="60">
      <c r="A60" s="32" t="n"/>
      <c r="B60" s="32" t="n"/>
      <c r="C60" s="32" t="n"/>
      <c r="D60" s="32" t="n"/>
      <c r="E60" s="32" t="n"/>
      <c r="F60" s="32" t="n"/>
      <c r="G60" s="32" t="n"/>
      <c r="H60" s="32" t="n"/>
      <c r="I60" s="32" t="n"/>
      <c r="J60" s="32" t="n"/>
      <c r="K60" s="32" t="n"/>
      <c r="L60" s="32" t="n"/>
      <c r="M60" s="32" t="n"/>
      <c r="N60" s="32" t="n"/>
      <c r="O60" s="32" t="n"/>
    </row>
    <row r="61">
      <c r="A61" s="32" t="n"/>
      <c r="B61" s="32" t="n"/>
      <c r="C61" s="32" t="n"/>
      <c r="D61" s="32" t="n"/>
      <c r="E61" s="32" t="n"/>
      <c r="F61" s="32" t="n"/>
      <c r="G61" s="32" t="n"/>
      <c r="H61" s="32" t="n"/>
      <c r="I61" s="32" t="n"/>
      <c r="J61" s="32" t="n"/>
      <c r="K61" s="32" t="n"/>
      <c r="L61" s="32" t="n"/>
      <c r="M61" s="32" t="n"/>
      <c r="N61" s="32" t="n"/>
      <c r="O61" s="32" t="n"/>
    </row>
    <row r="62">
      <c r="A62" s="32" t="n"/>
      <c r="B62" s="32" t="n"/>
      <c r="C62" s="32" t="n"/>
      <c r="D62" s="32" t="n"/>
      <c r="E62" s="32" t="n"/>
      <c r="F62" s="32" t="n"/>
      <c r="G62" s="32" t="n"/>
      <c r="H62" s="32" t="n"/>
      <c r="I62" s="32" t="n"/>
      <c r="J62" s="32" t="n"/>
      <c r="K62" s="32" t="n"/>
      <c r="L62" s="32" t="n"/>
      <c r="M62" s="32" t="n"/>
      <c r="N62" s="32" t="n"/>
      <c r="O62" s="32" t="n"/>
    </row>
    <row r="63">
      <c r="A63" s="32" t="n"/>
      <c r="B63" s="32" t="n"/>
      <c r="C63" s="32" t="n"/>
      <c r="D63" s="32" t="n"/>
      <c r="E63" s="32" t="n"/>
      <c r="F63" s="32" t="n"/>
      <c r="G63" s="32" t="n"/>
      <c r="H63" s="32" t="n"/>
      <c r="I63" s="32" t="n"/>
      <c r="J63" s="32" t="n"/>
      <c r="K63" s="32" t="n"/>
      <c r="L63" s="32" t="n"/>
      <c r="M63" s="32" t="n"/>
      <c r="N63" s="32" t="n"/>
      <c r="O63" s="32" t="n"/>
    </row>
    <row r="64">
      <c r="A64" s="32" t="n"/>
      <c r="B64" s="32" t="n"/>
      <c r="C64" s="32" t="n"/>
      <c r="D64" s="32" t="n"/>
      <c r="E64" s="32" t="n"/>
      <c r="F64" s="32" t="n"/>
      <c r="G64" s="32" t="n"/>
      <c r="H64" s="32" t="n"/>
      <c r="I64" s="32" t="n"/>
      <c r="J64" s="32" t="n"/>
      <c r="K64" s="32" t="n"/>
      <c r="L64" s="32" t="n"/>
      <c r="M64" s="32" t="n"/>
      <c r="N64" s="32" t="n"/>
      <c r="O64" s="32" t="n"/>
    </row>
    <row r="65">
      <c r="A65" s="32" t="n"/>
      <c r="B65" s="32" t="n"/>
      <c r="C65" s="32" t="n"/>
      <c r="D65" s="32" t="n"/>
      <c r="E65" s="32" t="n"/>
      <c r="F65" s="32" t="n"/>
      <c r="G65" s="32" t="n"/>
      <c r="H65" s="32" t="n"/>
      <c r="I65" s="32" t="n"/>
      <c r="J65" s="32" t="n"/>
      <c r="K65" s="32" t="n"/>
      <c r="L65" s="32" t="n"/>
      <c r="M65" s="32" t="n"/>
      <c r="N65" s="32" t="n"/>
      <c r="O65" s="32" t="n"/>
    </row>
    <row r="66">
      <c r="A66" s="32" t="n"/>
      <c r="B66" s="32" t="n"/>
      <c r="C66" s="32" t="n"/>
      <c r="D66" s="32" t="n"/>
      <c r="E66" s="32" t="n"/>
      <c r="F66" s="32" t="n"/>
      <c r="G66" s="32" t="n"/>
      <c r="H66" s="32" t="n"/>
      <c r="I66" s="32" t="n"/>
      <c r="J66" s="32" t="n"/>
      <c r="K66" s="32" t="n"/>
      <c r="L66" s="32" t="n"/>
      <c r="M66" s="32" t="n"/>
      <c r="N66" s="32" t="n"/>
      <c r="O66" s="32" t="n"/>
    </row>
    <row r="67">
      <c r="A67" s="32" t="n"/>
      <c r="B67" s="32" t="n"/>
      <c r="C67" s="32" t="n"/>
      <c r="D67" s="32" t="n"/>
      <c r="E67" s="32" t="n"/>
      <c r="F67" s="32" t="n"/>
      <c r="G67" s="32" t="n"/>
      <c r="H67" s="32" t="n"/>
      <c r="I67" s="32" t="n"/>
      <c r="J67" s="32" t="n"/>
      <c r="K67" s="32" t="n"/>
      <c r="L67" s="32" t="n"/>
      <c r="M67" s="32" t="n"/>
      <c r="N67" s="32" t="n"/>
      <c r="O67" s="32" t="n"/>
    </row>
    <row r="68">
      <c r="A68" s="32" t="n"/>
      <c r="B68" s="32" t="n"/>
      <c r="C68" s="32" t="n"/>
      <c r="D68" s="32" t="n"/>
      <c r="E68" s="32" t="n"/>
      <c r="F68" s="32" t="n"/>
      <c r="G68" s="32" t="n"/>
      <c r="H68" s="32" t="n"/>
      <c r="I68" s="32" t="n"/>
      <c r="J68" s="32" t="n"/>
      <c r="K68" s="32" t="n"/>
      <c r="L68" s="32" t="n"/>
      <c r="M68" s="32" t="n"/>
      <c r="N68" s="32" t="n"/>
      <c r="O68" s="32" t="n"/>
    </row>
    <row r="69">
      <c r="A69" s="32" t="n"/>
      <c r="B69" s="32" t="n"/>
      <c r="C69" s="32" t="n"/>
      <c r="D69" s="32" t="n"/>
      <c r="E69" s="32" t="n"/>
      <c r="F69" s="32" t="n"/>
      <c r="G69" s="32" t="n"/>
      <c r="H69" s="32" t="n"/>
      <c r="I69" s="32" t="n"/>
      <c r="J69" s="32" t="n"/>
      <c r="K69" s="32" t="n"/>
      <c r="L69" s="32" t="n"/>
      <c r="M69" s="32" t="n"/>
      <c r="N69" s="32" t="n"/>
      <c r="O69" s="32" t="n"/>
    </row>
    <row r="70">
      <c r="A70" s="32" t="n"/>
      <c r="B70" s="32" t="n"/>
      <c r="C70" s="32" t="n"/>
      <c r="D70" s="32" t="n"/>
      <c r="E70" s="32" t="n"/>
      <c r="F70" s="32" t="n"/>
      <c r="G70" s="32" t="n"/>
      <c r="H70" s="32" t="n"/>
      <c r="I70" s="32" t="n"/>
      <c r="J70" s="32" t="n"/>
      <c r="K70" s="32" t="n"/>
      <c r="L70" s="32" t="n"/>
      <c r="M70" s="32" t="n"/>
      <c r="N70" s="32" t="n"/>
      <c r="O70" s="32" t="n"/>
    </row>
    <row r="71">
      <c r="A71" s="32" t="n"/>
      <c r="B71" s="32" t="n"/>
      <c r="C71" s="32" t="n"/>
      <c r="D71" s="32" t="n"/>
      <c r="E71" s="32" t="n"/>
      <c r="F71" s="32" t="n"/>
      <c r="G71" s="32" t="n"/>
      <c r="H71" s="32" t="n"/>
      <c r="I71" s="32" t="n"/>
      <c r="J71" s="32" t="n"/>
      <c r="K71" s="32" t="n"/>
      <c r="L71" s="32" t="n"/>
      <c r="M71" s="32" t="n"/>
      <c r="N71" s="32" t="n"/>
      <c r="O71" s="32" t="n"/>
    </row>
    <row r="72">
      <c r="A72" s="32" t="n"/>
      <c r="B72" s="32" t="n"/>
      <c r="C72" s="32" t="n"/>
      <c r="D72" s="32" t="n"/>
      <c r="E72" s="32" t="n"/>
      <c r="F72" s="32" t="n"/>
      <c r="G72" s="32" t="n"/>
      <c r="H72" s="32" t="n"/>
      <c r="I72" s="32" t="n"/>
      <c r="J72" s="32" t="n"/>
      <c r="K72" s="32" t="n"/>
      <c r="L72" s="32" t="n"/>
      <c r="M72" s="32" t="n"/>
      <c r="N72" s="32" t="n"/>
      <c r="O72" s="32" t="n"/>
    </row>
    <row r="73">
      <c r="A73" s="32" t="n"/>
      <c r="B73" s="32" t="n"/>
      <c r="C73" s="32" t="n"/>
      <c r="D73" s="32" t="n"/>
      <c r="E73" s="32" t="n"/>
      <c r="F73" s="32" t="n"/>
      <c r="G73" s="32" t="n"/>
      <c r="H73" s="32" t="n"/>
      <c r="I73" s="32" t="n"/>
      <c r="J73" s="32" t="n"/>
      <c r="K73" s="32" t="n"/>
      <c r="L73" s="32" t="n"/>
      <c r="M73" s="32" t="n"/>
      <c r="N73" s="32" t="n"/>
      <c r="O73" s="32" t="n"/>
    </row>
    <row r="74">
      <c r="A74" s="32" t="n"/>
      <c r="B74" s="32" t="n"/>
      <c r="C74" s="32" t="n"/>
      <c r="D74" s="32" t="n"/>
      <c r="E74" s="32" t="n"/>
      <c r="F74" s="32" t="n"/>
      <c r="G74" s="32" t="n"/>
      <c r="H74" s="32" t="n"/>
      <c r="I74" s="32" t="n"/>
      <c r="J74" s="32" t="n"/>
      <c r="K74" s="32" t="n"/>
      <c r="L74" s="32" t="n"/>
      <c r="M74" s="32" t="n"/>
      <c r="N74" s="32" t="n"/>
      <c r="O74" s="32" t="n"/>
    </row>
    <row r="75">
      <c r="A75" s="32" t="n"/>
      <c r="B75" s="32" t="n"/>
      <c r="C75" s="32" t="n"/>
      <c r="D75" s="32" t="n"/>
      <c r="E75" s="32" t="n"/>
      <c r="F75" s="32" t="n"/>
      <c r="G75" s="32" t="n"/>
      <c r="H75" s="32" t="n"/>
      <c r="I75" s="32" t="n"/>
      <c r="J75" s="32" t="n"/>
      <c r="K75" s="32" t="n"/>
      <c r="L75" s="32" t="n"/>
      <c r="M75" s="32" t="n"/>
      <c r="N75" s="32" t="n"/>
      <c r="O75" s="32" t="n"/>
    </row>
    <row r="76">
      <c r="A76" s="32" t="n"/>
      <c r="B76" s="32" t="n"/>
      <c r="C76" s="32" t="n"/>
      <c r="D76" s="32" t="n"/>
      <c r="E76" s="32" t="n"/>
      <c r="F76" s="32" t="n"/>
      <c r="G76" s="32" t="n"/>
      <c r="H76" s="32" t="n"/>
      <c r="I76" s="32" t="n"/>
      <c r="J76" s="32" t="n"/>
      <c r="K76" s="32" t="n"/>
      <c r="L76" s="32" t="n"/>
      <c r="M76" s="32" t="n"/>
      <c r="N76" s="32" t="n"/>
      <c r="O76" s="32" t="n"/>
    </row>
    <row r="77">
      <c r="A77" s="32" t="n"/>
      <c r="B77" s="32" t="n"/>
      <c r="C77" s="32" t="n"/>
      <c r="D77" s="32" t="n"/>
      <c r="E77" s="32" t="n"/>
      <c r="F77" s="32" t="n"/>
      <c r="G77" s="32" t="n"/>
      <c r="H77" s="32" t="n"/>
      <c r="I77" s="32" t="n"/>
      <c r="J77" s="32" t="n"/>
      <c r="K77" s="32" t="n"/>
      <c r="L77" s="32" t="n"/>
      <c r="M77" s="32" t="n"/>
      <c r="N77" s="32" t="n"/>
      <c r="O77" s="32" t="n"/>
    </row>
    <row r="78">
      <c r="A78" s="32" t="n"/>
      <c r="B78" s="32" t="n"/>
      <c r="C78" s="32" t="n"/>
      <c r="D78" s="32" t="n"/>
      <c r="E78" s="32" t="n"/>
      <c r="F78" s="32" t="n"/>
      <c r="G78" s="32" t="n"/>
      <c r="H78" s="32" t="n"/>
      <c r="I78" s="32" t="n"/>
      <c r="J78" s="32" t="n"/>
      <c r="K78" s="32" t="n"/>
      <c r="L78" s="32" t="n"/>
      <c r="M78" s="32" t="n"/>
      <c r="N78" s="32" t="n"/>
      <c r="O78" s="32" t="n"/>
    </row>
    <row r="79">
      <c r="A79" s="32" t="n"/>
      <c r="B79" s="32" t="n"/>
      <c r="C79" s="32" t="n"/>
      <c r="D79" s="32" t="n"/>
      <c r="E79" s="32" t="n"/>
      <c r="F79" s="32" t="n"/>
      <c r="G79" s="32" t="n"/>
      <c r="H79" s="32" t="n"/>
      <c r="I79" s="32" t="n"/>
      <c r="J79" s="32" t="n"/>
      <c r="K79" s="32" t="n"/>
      <c r="L79" s="32" t="n"/>
      <c r="M79" s="32" t="n"/>
      <c r="N79" s="32" t="n"/>
      <c r="O79" s="32" t="n"/>
    </row>
    <row r="80">
      <c r="A80" s="32" t="n"/>
      <c r="B80" s="32" t="n"/>
      <c r="C80" s="32" t="n"/>
      <c r="D80" s="32" t="n"/>
      <c r="E80" s="32" t="n"/>
      <c r="F80" s="32" t="n"/>
      <c r="G80" s="32" t="n"/>
      <c r="H80" s="32" t="n"/>
      <c r="I80" s="32" t="n"/>
      <c r="J80" s="32" t="n"/>
      <c r="K80" s="32" t="n"/>
      <c r="L80" s="32" t="n"/>
      <c r="M80" s="32" t="n"/>
      <c r="N80" s="32" t="n"/>
      <c r="O80" s="32" t="n"/>
    </row>
    <row r="81">
      <c r="A81" s="32" t="n"/>
      <c r="B81" s="32" t="n"/>
      <c r="C81" s="32" t="n"/>
      <c r="D81" s="32" t="n"/>
      <c r="E81" s="32" t="n"/>
      <c r="F81" s="32" t="n"/>
      <c r="G81" s="32" t="n"/>
      <c r="H81" s="32" t="n"/>
      <c r="I81" s="32" t="n"/>
      <c r="J81" s="32" t="n"/>
      <c r="K81" s="32" t="n"/>
      <c r="L81" s="32" t="n"/>
      <c r="M81" s="32" t="n"/>
      <c r="N81" s="32" t="n"/>
      <c r="O81" s="32" t="n"/>
    </row>
    <row r="82">
      <c r="A82" s="32" t="n"/>
      <c r="B82" s="32" t="n"/>
      <c r="C82" s="32" t="n"/>
      <c r="D82" s="32" t="n"/>
      <c r="E82" s="32" t="n"/>
      <c r="F82" s="32" t="n"/>
      <c r="G82" s="32" t="n"/>
      <c r="H82" s="32" t="n"/>
      <c r="I82" s="32" t="n"/>
      <c r="J82" s="32" t="n"/>
      <c r="K82" s="32" t="n"/>
      <c r="L82" s="32" t="n"/>
      <c r="M82" s="32" t="n"/>
      <c r="N82" s="32" t="n"/>
      <c r="O82" s="32" t="n"/>
    </row>
    <row r="83">
      <c r="A83" s="32" t="n"/>
      <c r="B83" s="32" t="n"/>
      <c r="C83" s="32" t="n"/>
      <c r="D83" s="32" t="n"/>
      <c r="E83" s="32" t="n"/>
      <c r="F83" s="32" t="n"/>
      <c r="G83" s="32" t="n"/>
      <c r="H83" s="32" t="n"/>
      <c r="I83" s="32" t="n"/>
      <c r="J83" s="32" t="n"/>
      <c r="K83" s="32" t="n"/>
      <c r="L83" s="32" t="n"/>
      <c r="M83" s="32" t="n"/>
      <c r="N83" s="32" t="n"/>
      <c r="O83" s="32" t="n"/>
    </row>
    <row r="84">
      <c r="A84" s="32" t="n"/>
      <c r="B84" s="32" t="n"/>
      <c r="C84" s="32" t="n"/>
      <c r="D84" s="32" t="n"/>
      <c r="E84" s="32" t="n"/>
      <c r="F84" s="32" t="n"/>
      <c r="G84" s="32" t="n"/>
      <c r="H84" s="32" t="n"/>
      <c r="I84" s="32" t="n"/>
      <c r="J84" s="32" t="n"/>
      <c r="K84" s="32" t="n"/>
      <c r="L84" s="32" t="n"/>
      <c r="M84" s="32" t="n"/>
      <c r="N84" s="32" t="n"/>
      <c r="O84" s="32" t="n"/>
    </row>
    <row r="85">
      <c r="A85" s="32" t="n"/>
      <c r="B85" s="32" t="n"/>
      <c r="C85" s="32" t="n"/>
      <c r="D85" s="32" t="n"/>
      <c r="E85" s="32" t="n"/>
      <c r="F85" s="32" t="n"/>
      <c r="G85" s="32" t="n"/>
      <c r="H85" s="32" t="n"/>
      <c r="I85" s="32" t="n"/>
      <c r="J85" s="32" t="n"/>
      <c r="K85" s="32" t="n"/>
      <c r="L85" s="32" t="n"/>
      <c r="M85" s="32" t="n"/>
      <c r="N85" s="32" t="n"/>
      <c r="O85" s="32" t="n"/>
    </row>
    <row r="86">
      <c r="A86" s="32" t="n"/>
      <c r="B86" s="32" t="n"/>
      <c r="C86" s="32" t="n"/>
      <c r="D86" s="32" t="n"/>
      <c r="E86" s="32" t="n"/>
      <c r="F86" s="32" t="n"/>
      <c r="G86" s="32" t="n"/>
      <c r="H86" s="32" t="n"/>
      <c r="I86" s="32" t="n"/>
      <c r="J86" s="32" t="n"/>
      <c r="K86" s="32" t="n"/>
      <c r="L86" s="32" t="n"/>
      <c r="M86" s="32" t="n"/>
      <c r="N86" s="32" t="n"/>
      <c r="O86" s="32" t="n"/>
    </row>
    <row r="87">
      <c r="A87" s="32" t="n"/>
      <c r="B87" s="32" t="n"/>
      <c r="C87" s="32" t="n"/>
      <c r="D87" s="32" t="n"/>
      <c r="E87" s="32" t="n"/>
      <c r="F87" s="32" t="n"/>
      <c r="G87" s="32" t="n"/>
      <c r="H87" s="32" t="n"/>
      <c r="I87" s="32" t="n"/>
      <c r="J87" s="32" t="n"/>
      <c r="K87" s="32" t="n"/>
      <c r="L87" s="32" t="n"/>
      <c r="M87" s="32" t="n"/>
      <c r="N87" s="32" t="n"/>
      <c r="O87" s="32" t="n"/>
    </row>
    <row r="88">
      <c r="A88" s="32" t="n"/>
      <c r="B88" s="32" t="n"/>
      <c r="C88" s="32" t="n"/>
      <c r="D88" s="32" t="n"/>
      <c r="E88" s="32" t="n"/>
      <c r="F88" s="32" t="n"/>
      <c r="G88" s="32" t="n"/>
      <c r="H88" s="32" t="n"/>
      <c r="I88" s="32" t="n"/>
      <c r="J88" s="32" t="n"/>
      <c r="K88" s="32" t="n"/>
      <c r="L88" s="32" t="n"/>
      <c r="M88" s="32" t="n"/>
      <c r="N88" s="32" t="n"/>
      <c r="O88" s="32" t="n"/>
    </row>
    <row r="89">
      <c r="A89" s="32" t="n"/>
      <c r="B89" s="32" t="n"/>
      <c r="C89" s="32" t="n"/>
      <c r="D89" s="32" t="n"/>
      <c r="E89" s="32" t="n"/>
      <c r="F89" s="32" t="n"/>
      <c r="G89" s="32" t="n"/>
      <c r="H89" s="32" t="n"/>
      <c r="I89" s="32" t="n"/>
      <c r="J89" s="32" t="n"/>
      <c r="K89" s="32" t="n"/>
      <c r="L89" s="32" t="n"/>
      <c r="M89" s="32" t="n"/>
      <c r="N89" s="32" t="n"/>
      <c r="O89" s="32" t="n"/>
    </row>
    <row r="90">
      <c r="A90" s="32" t="n"/>
      <c r="B90" s="32" t="n"/>
      <c r="C90" s="32" t="n"/>
      <c r="D90" s="32" t="n"/>
      <c r="E90" s="32" t="n"/>
      <c r="F90" s="32" t="n"/>
      <c r="G90" s="32" t="n"/>
      <c r="H90" s="32" t="n"/>
      <c r="I90" s="32" t="n"/>
      <c r="J90" s="32" t="n"/>
      <c r="K90" s="32" t="n"/>
      <c r="L90" s="32" t="n"/>
      <c r="M90" s="32" t="n"/>
      <c r="N90" s="32" t="n"/>
      <c r="O90" s="32" t="n"/>
    </row>
    <row r="91">
      <c r="A91" s="32" t="n"/>
      <c r="B91" s="32" t="n"/>
      <c r="C91" s="32" t="n"/>
      <c r="D91" s="32" t="n"/>
      <c r="E91" s="32" t="n"/>
      <c r="F91" s="32" t="n"/>
      <c r="G91" s="32" t="n"/>
      <c r="H91" s="32" t="n"/>
      <c r="I91" s="32" t="n"/>
      <c r="J91" s="32" t="n"/>
      <c r="K91" s="32" t="n"/>
      <c r="L91" s="32" t="n"/>
      <c r="M91" s="32" t="n"/>
      <c r="N91" s="32" t="n"/>
      <c r="O91" s="32" t="n"/>
    </row>
    <row r="92">
      <c r="A92" s="32" t="n"/>
      <c r="B92" s="32" t="n"/>
      <c r="C92" s="32" t="n"/>
      <c r="D92" s="32" t="n"/>
      <c r="E92" s="32" t="n"/>
      <c r="F92" s="32" t="n"/>
      <c r="G92" s="32" t="n"/>
      <c r="H92" s="32" t="n"/>
      <c r="I92" s="32" t="n"/>
      <c r="J92" s="32" t="n"/>
      <c r="K92" s="32" t="n"/>
      <c r="L92" s="32" t="n"/>
      <c r="M92" s="32" t="n"/>
      <c r="N92" s="32" t="n"/>
      <c r="O92" s="32" t="n"/>
    </row>
    <row r="93">
      <c r="A93" s="32" t="n"/>
      <c r="B93" s="32" t="n"/>
      <c r="C93" s="32" t="n"/>
      <c r="D93" s="32" t="n"/>
      <c r="E93" s="32" t="n"/>
      <c r="F93" s="32" t="n"/>
      <c r="G93" s="32" t="n"/>
      <c r="H93" s="32" t="n"/>
      <c r="I93" s="32" t="n"/>
      <c r="J93" s="32" t="n"/>
      <c r="K93" s="32" t="n"/>
      <c r="L93" s="32" t="n"/>
      <c r="M93" s="32" t="n"/>
      <c r="N93" s="32" t="n"/>
      <c r="O93" s="32" t="n"/>
    </row>
    <row r="94">
      <c r="A94" s="32" t="n"/>
      <c r="B94" s="32" t="n"/>
      <c r="C94" s="32" t="n"/>
      <c r="D94" s="32" t="n"/>
      <c r="E94" s="32" t="n"/>
      <c r="F94" s="32" t="n"/>
      <c r="G94" s="32" t="n"/>
      <c r="H94" s="32" t="n"/>
      <c r="I94" s="32" t="n"/>
      <c r="J94" s="32" t="n"/>
      <c r="K94" s="32" t="n"/>
      <c r="L94" s="32" t="n"/>
      <c r="M94" s="32" t="n"/>
      <c r="N94" s="32" t="n"/>
      <c r="O94" s="32" t="n"/>
    </row>
    <row r="95">
      <c r="A95" s="32" t="n"/>
      <c r="B95" s="32" t="n"/>
      <c r="C95" s="32" t="n"/>
      <c r="D95" s="32" t="n"/>
      <c r="E95" s="32" t="n"/>
      <c r="F95" s="32" t="n"/>
      <c r="G95" s="32" t="n"/>
      <c r="H95" s="32" t="n"/>
      <c r="I95" s="32" t="n"/>
      <c r="J95" s="32" t="n"/>
      <c r="K95" s="32" t="n"/>
      <c r="L95" s="32" t="n"/>
      <c r="M95" s="32" t="n"/>
      <c r="N95" s="32" t="n"/>
      <c r="O95" s="32" t="n"/>
    </row>
    <row r="96">
      <c r="A96" s="32" t="n"/>
      <c r="B96" s="32" t="n"/>
      <c r="C96" s="32" t="n"/>
      <c r="D96" s="32" t="n"/>
      <c r="E96" s="32" t="n"/>
      <c r="F96" s="32" t="n"/>
      <c r="G96" s="32" t="n"/>
      <c r="H96" s="32" t="n"/>
      <c r="I96" s="32" t="n"/>
      <c r="J96" s="32" t="n"/>
      <c r="K96" s="32" t="n"/>
      <c r="L96" s="32" t="n"/>
      <c r="M96" s="32" t="n"/>
      <c r="N96" s="32" t="n"/>
      <c r="O96" s="32" t="n"/>
    </row>
    <row r="97">
      <c r="A97" s="32" t="n"/>
      <c r="B97" s="32" t="n"/>
      <c r="C97" s="32" t="n"/>
      <c r="D97" s="32" t="n"/>
      <c r="E97" s="32" t="n"/>
      <c r="F97" s="32" t="n"/>
      <c r="G97" s="32" t="n"/>
      <c r="H97" s="32" t="n"/>
      <c r="I97" s="32" t="n"/>
      <c r="J97" s="32" t="n"/>
      <c r="K97" s="32" t="n"/>
      <c r="L97" s="32" t="n"/>
      <c r="M97" s="32" t="n"/>
      <c r="N97" s="32" t="n"/>
      <c r="O97" s="32" t="n"/>
    </row>
    <row r="98">
      <c r="A98" s="32" t="n"/>
      <c r="B98" s="32" t="n"/>
      <c r="C98" s="32" t="n"/>
      <c r="D98" s="32" t="n"/>
      <c r="E98" s="32" t="n"/>
      <c r="F98" s="32" t="n"/>
      <c r="G98" s="32" t="n"/>
      <c r="H98" s="32" t="n"/>
      <c r="I98" s="32" t="n"/>
      <c r="J98" s="32" t="n"/>
      <c r="K98" s="32" t="n"/>
      <c r="L98" s="32" t="n"/>
      <c r="M98" s="32" t="n"/>
      <c r="N98" s="32" t="n"/>
      <c r="O98" s="32" t="n"/>
    </row>
    <row r="99">
      <c r="A99" s="32" t="n"/>
      <c r="B99" s="32" t="n"/>
      <c r="C99" s="32" t="n"/>
      <c r="D99" s="32" t="n"/>
      <c r="E99" s="32" t="n"/>
      <c r="F99" s="32" t="n"/>
      <c r="G99" s="32" t="n"/>
      <c r="H99" s="32" t="n"/>
      <c r="I99" s="32" t="n"/>
      <c r="J99" s="32" t="n"/>
      <c r="K99" s="32" t="n"/>
      <c r="L99" s="32" t="n"/>
      <c r="M99" s="32" t="n"/>
      <c r="N99" s="32" t="n"/>
      <c r="O99" s="32" t="n"/>
    </row>
    <row r="100">
      <c r="A100" s="32" t="n"/>
      <c r="B100" s="32" t="n"/>
      <c r="C100" s="32" t="n"/>
      <c r="D100" s="32" t="n"/>
      <c r="E100" s="32" t="n"/>
      <c r="F100" s="32" t="n"/>
      <c r="G100" s="32" t="n"/>
      <c r="H100" s="32" t="n"/>
      <c r="I100" s="32" t="n"/>
      <c r="J100" s="32" t="n"/>
      <c r="K100" s="32" t="n"/>
      <c r="L100" s="32" t="n"/>
      <c r="M100" s="32" t="n"/>
      <c r="N100" s="32" t="n"/>
      <c r="O100" s="32" t="n"/>
    </row>
    <row r="101">
      <c r="A101" s="32" t="n"/>
      <c r="B101" s="32" t="n"/>
      <c r="C101" s="32" t="n"/>
      <c r="D101" s="32" t="n"/>
      <c r="E101" s="32" t="n"/>
      <c r="F101" s="32" t="n"/>
      <c r="G101" s="32" t="n"/>
      <c r="H101" s="32" t="n"/>
      <c r="I101" s="32" t="n"/>
      <c r="J101" s="32" t="n"/>
      <c r="K101" s="32" t="n"/>
      <c r="L101" s="32" t="n"/>
      <c r="M101" s="32" t="n"/>
      <c r="N101" s="32" t="n"/>
      <c r="O101" s="32" t="n"/>
    </row>
    <row r="102">
      <c r="A102" s="32" t="n"/>
      <c r="B102" s="32" t="n"/>
      <c r="C102" s="32" t="n"/>
      <c r="D102" s="32" t="n"/>
      <c r="E102" s="32" t="n"/>
      <c r="F102" s="32" t="n"/>
      <c r="G102" s="32" t="n"/>
      <c r="H102" s="32" t="n"/>
      <c r="I102" s="32" t="n"/>
      <c r="J102" s="32" t="n"/>
      <c r="K102" s="32" t="n"/>
      <c r="L102" s="32" t="n"/>
      <c r="M102" s="32" t="n"/>
      <c r="N102" s="32" t="n"/>
      <c r="O102" s="32" t="n"/>
    </row>
    <row r="103">
      <c r="A103" s="32" t="n"/>
      <c r="B103" s="32" t="n"/>
      <c r="C103" s="32" t="n"/>
      <c r="D103" s="32" t="n"/>
      <c r="E103" s="32" t="n"/>
      <c r="F103" s="32" t="n"/>
      <c r="G103" s="32" t="n"/>
      <c r="H103" s="32" t="n"/>
      <c r="I103" s="32" t="n"/>
      <c r="J103" s="32" t="n"/>
      <c r="K103" s="32" t="n"/>
      <c r="L103" s="32" t="n"/>
      <c r="M103" s="32" t="n"/>
      <c r="N103" s="32" t="n"/>
      <c r="O103" s="32" t="n"/>
    </row>
    <row r="104">
      <c r="A104" s="32" t="n"/>
      <c r="B104" s="32" t="n"/>
      <c r="C104" s="32" t="n"/>
      <c r="D104" s="32" t="n"/>
      <c r="E104" s="32" t="n"/>
      <c r="F104" s="32" t="n"/>
      <c r="G104" s="32" t="n"/>
      <c r="H104" s="32" t="n"/>
      <c r="I104" s="32" t="n"/>
      <c r="J104" s="32" t="n"/>
      <c r="K104" s="32" t="n"/>
      <c r="L104" s="32" t="n"/>
      <c r="M104" s="32" t="n"/>
      <c r="N104" s="32" t="n"/>
      <c r="O104" s="32" t="n"/>
    </row>
    <row r="105">
      <c r="A105" s="32" t="n"/>
      <c r="B105" s="32" t="n"/>
      <c r="C105" s="32" t="n"/>
      <c r="D105" s="32" t="n"/>
      <c r="E105" s="32" t="n"/>
      <c r="F105" s="32" t="n"/>
      <c r="G105" s="32" t="n"/>
      <c r="H105" s="32" t="n"/>
      <c r="I105" s="32" t="n"/>
      <c r="J105" s="32" t="n"/>
      <c r="K105" s="32" t="n"/>
      <c r="L105" s="32" t="n"/>
      <c r="M105" s="32" t="n"/>
      <c r="N105" s="32" t="n"/>
      <c r="O105" s="32" t="n"/>
    </row>
    <row r="106">
      <c r="A106" s="32" t="n"/>
      <c r="B106" s="32" t="n"/>
      <c r="C106" s="32" t="n"/>
      <c r="D106" s="32" t="n"/>
      <c r="E106" s="32" t="n"/>
      <c r="F106" s="32" t="n"/>
      <c r="G106" s="32" t="n"/>
      <c r="H106" s="32" t="n"/>
      <c r="I106" s="32" t="n"/>
      <c r="J106" s="32" t="n"/>
      <c r="K106" s="32" t="n"/>
      <c r="L106" s="32" t="n"/>
      <c r="M106" s="32" t="n"/>
      <c r="N106" s="32" t="n"/>
      <c r="O106" s="32" t="n"/>
    </row>
    <row r="107">
      <c r="A107" s="32" t="n"/>
      <c r="B107" s="32" t="n"/>
      <c r="C107" s="32" t="n"/>
      <c r="D107" s="32" t="n"/>
      <c r="E107" s="32" t="n"/>
      <c r="F107" s="32" t="n"/>
      <c r="G107" s="32" t="n"/>
      <c r="H107" s="32" t="n"/>
      <c r="I107" s="32" t="n"/>
      <c r="J107" s="32" t="n"/>
      <c r="K107" s="32" t="n"/>
      <c r="L107" s="32" t="n"/>
      <c r="M107" s="32" t="n"/>
      <c r="N107" s="32" t="n"/>
      <c r="O107" s="32" t="n"/>
    </row>
    <row r="108">
      <c r="A108" s="32" t="n"/>
      <c r="B108" s="32" t="n"/>
      <c r="C108" s="32" t="n"/>
      <c r="D108" s="32" t="n"/>
      <c r="E108" s="32" t="n"/>
      <c r="F108" s="32" t="n"/>
      <c r="G108" s="32" t="n"/>
      <c r="H108" s="32" t="n"/>
      <c r="I108" s="32" t="n"/>
      <c r="J108" s="32" t="n"/>
      <c r="K108" s="32" t="n"/>
      <c r="L108" s="32" t="n"/>
      <c r="M108" s="32" t="n"/>
      <c r="N108" s="32" t="n"/>
      <c r="O108" s="32" t="n"/>
    </row>
    <row r="109">
      <c r="A109" s="32" t="n"/>
      <c r="B109" s="32" t="n"/>
      <c r="C109" s="32" t="n"/>
      <c r="D109" s="32" t="n"/>
      <c r="E109" s="32" t="n"/>
      <c r="F109" s="32" t="n"/>
      <c r="G109" s="32" t="n"/>
      <c r="H109" s="32" t="n"/>
      <c r="I109" s="32" t="n"/>
      <c r="J109" s="32" t="n"/>
      <c r="K109" s="32" t="n"/>
      <c r="L109" s="32" t="n"/>
      <c r="M109" s="32" t="n"/>
      <c r="N109" s="32" t="n"/>
      <c r="O109" s="32" t="n"/>
    </row>
    <row r="110">
      <c r="A110" s="32" t="n"/>
      <c r="B110" s="32" t="n"/>
      <c r="C110" s="32" t="n"/>
      <c r="D110" s="32" t="n"/>
      <c r="E110" s="32" t="n"/>
      <c r="F110" s="32" t="n"/>
      <c r="G110" s="32" t="n"/>
      <c r="H110" s="32" t="n"/>
      <c r="I110" s="32" t="n"/>
      <c r="J110" s="32" t="n"/>
      <c r="K110" s="32" t="n"/>
      <c r="L110" s="32" t="n"/>
      <c r="M110" s="32" t="n"/>
      <c r="N110" s="32" t="n"/>
      <c r="O110" s="32" t="n"/>
    </row>
    <row r="111">
      <c r="A111" s="32" t="n"/>
      <c r="B111" s="32" t="n"/>
      <c r="C111" s="32" t="n"/>
      <c r="D111" s="32" t="n"/>
      <c r="E111" s="32" t="n"/>
      <c r="F111" s="32" t="n"/>
      <c r="G111" s="32" t="n"/>
      <c r="H111" s="32" t="n"/>
      <c r="I111" s="32" t="n"/>
      <c r="J111" s="32" t="n"/>
      <c r="K111" s="32" t="n"/>
      <c r="L111" s="32" t="n"/>
      <c r="M111" s="32" t="n"/>
      <c r="N111" s="32" t="n"/>
      <c r="O111" s="32" t="n"/>
    </row>
    <row r="112">
      <c r="A112" s="32" t="n"/>
      <c r="B112" s="32" t="n"/>
      <c r="C112" s="32" t="n"/>
      <c r="D112" s="32" t="n"/>
      <c r="E112" s="32" t="n"/>
      <c r="F112" s="32" t="n"/>
      <c r="G112" s="32" t="n"/>
      <c r="H112" s="32" t="n"/>
      <c r="I112" s="32" t="n"/>
      <c r="J112" s="32" t="n"/>
      <c r="K112" s="32" t="n"/>
      <c r="L112" s="32" t="n"/>
      <c r="M112" s="32" t="n"/>
      <c r="N112" s="32" t="n"/>
      <c r="O112" s="32" t="n"/>
    </row>
    <row r="113">
      <c r="A113" s="32" t="n"/>
      <c r="B113" s="32" t="n"/>
      <c r="C113" s="32" t="n"/>
      <c r="D113" s="32" t="n"/>
      <c r="E113" s="32" t="n"/>
      <c r="F113" s="32" t="n"/>
      <c r="G113" s="32" t="n"/>
      <c r="H113" s="32" t="n"/>
      <c r="I113" s="32" t="n"/>
      <c r="J113" s="32" t="n"/>
      <c r="K113" s="32" t="n"/>
      <c r="L113" s="32" t="n"/>
      <c r="M113" s="32" t="n"/>
      <c r="N113" s="32" t="n"/>
      <c r="O113" s="32" t="n"/>
    </row>
    <row r="114">
      <c r="A114" s="32" t="n"/>
      <c r="B114" s="32" t="n"/>
      <c r="C114" s="32" t="n"/>
      <c r="D114" s="32" t="n"/>
      <c r="E114" s="32" t="n"/>
      <c r="F114" s="32" t="n"/>
      <c r="G114" s="32" t="n"/>
      <c r="H114" s="32" t="n"/>
      <c r="I114" s="32" t="n"/>
      <c r="J114" s="32" t="n"/>
      <c r="K114" s="32" t="n"/>
      <c r="L114" s="32" t="n"/>
      <c r="M114" s="32" t="n"/>
      <c r="N114" s="32" t="n"/>
      <c r="O114" s="32" t="n"/>
    </row>
    <row r="115">
      <c r="A115" s="32" t="n"/>
      <c r="B115" s="32" t="n"/>
      <c r="C115" s="32" t="n"/>
      <c r="D115" s="32" t="n"/>
      <c r="E115" s="32" t="n"/>
      <c r="F115" s="32" t="n"/>
      <c r="G115" s="32" t="n"/>
      <c r="H115" s="32" t="n"/>
      <c r="I115" s="32" t="n"/>
      <c r="J115" s="32" t="n"/>
      <c r="K115" s="32" t="n"/>
      <c r="L115" s="32" t="n"/>
      <c r="M115" s="32" t="n"/>
      <c r="N115" s="32" t="n"/>
      <c r="O115" s="32" t="n"/>
    </row>
    <row r="116">
      <c r="A116" s="32" t="n"/>
      <c r="B116" s="32" t="n"/>
      <c r="C116" s="32" t="n"/>
      <c r="D116" s="32" t="n"/>
      <c r="E116" s="32" t="n"/>
      <c r="F116" s="32" t="n"/>
      <c r="G116" s="32" t="n"/>
      <c r="H116" s="32" t="n"/>
      <c r="I116" s="32" t="n"/>
      <c r="J116" s="32" t="n"/>
      <c r="K116" s="32" t="n"/>
      <c r="L116" s="32" t="n"/>
      <c r="M116" s="32" t="n"/>
      <c r="N116" s="32" t="n"/>
      <c r="O116" s="32" t="n"/>
    </row>
    <row r="117">
      <c r="A117" s="32" t="n"/>
      <c r="B117" s="32" t="n"/>
      <c r="C117" s="32" t="n"/>
      <c r="D117" s="32" t="n"/>
      <c r="E117" s="32" t="n"/>
      <c r="F117" s="32" t="n"/>
      <c r="G117" s="32" t="n"/>
      <c r="H117" s="32" t="n"/>
      <c r="I117" s="32" t="n"/>
      <c r="J117" s="32" t="n"/>
      <c r="K117" s="32" t="n"/>
      <c r="L117" s="32" t="n"/>
      <c r="M117" s="32" t="n"/>
      <c r="N117" s="32" t="n"/>
      <c r="O117" s="32" t="n"/>
    </row>
    <row r="118">
      <c r="A118" s="32" t="n"/>
      <c r="B118" s="32" t="n"/>
      <c r="C118" s="32" t="n"/>
      <c r="D118" s="32" t="n"/>
      <c r="E118" s="32" t="n"/>
      <c r="F118" s="32" t="n"/>
      <c r="G118" s="32" t="n"/>
      <c r="H118" s="32" t="n"/>
      <c r="I118" s="32" t="n"/>
      <c r="J118" s="32" t="n"/>
      <c r="K118" s="32" t="n"/>
      <c r="L118" s="32" t="n"/>
      <c r="M118" s="32" t="n"/>
      <c r="N118" s="32" t="n"/>
      <c r="O118" s="32" t="n"/>
    </row>
    <row r="119">
      <c r="A119" s="32" t="n"/>
      <c r="B119" s="32" t="n"/>
      <c r="C119" s="32" t="n"/>
      <c r="D119" s="32" t="n"/>
      <c r="E119" s="32" t="n"/>
      <c r="F119" s="32" t="n"/>
      <c r="G119" s="32" t="n"/>
      <c r="H119" s="32" t="n"/>
      <c r="I119" s="32" t="n"/>
      <c r="J119" s="32" t="n"/>
      <c r="K119" s="32" t="n"/>
      <c r="L119" s="32" t="n"/>
      <c r="M119" s="32" t="n"/>
      <c r="N119" s="32" t="n"/>
      <c r="O119" s="32" t="n"/>
    </row>
    <row r="120">
      <c r="A120" s="32" t="n"/>
      <c r="B120" s="32" t="n"/>
      <c r="C120" s="32" t="n"/>
      <c r="D120" s="32" t="n"/>
      <c r="E120" s="32" t="n"/>
      <c r="F120" s="32" t="n"/>
      <c r="G120" s="32" t="n"/>
      <c r="H120" s="32" t="n"/>
      <c r="I120" s="32" t="n"/>
      <c r="J120" s="32" t="n"/>
      <c r="K120" s="32" t="n"/>
      <c r="L120" s="32" t="n"/>
      <c r="M120" s="32" t="n"/>
      <c r="N120" s="32" t="n"/>
      <c r="O120" s="32" t="n"/>
    </row>
    <row r="121">
      <c r="A121" s="32" t="n"/>
      <c r="B121" s="32" t="n"/>
      <c r="C121" s="32" t="n"/>
      <c r="D121" s="32" t="n"/>
      <c r="E121" s="32" t="n"/>
      <c r="F121" s="32" t="n"/>
      <c r="G121" s="32" t="n"/>
      <c r="H121" s="32" t="n"/>
      <c r="I121" s="32" t="n"/>
      <c r="J121" s="32" t="n"/>
      <c r="K121" s="32" t="n"/>
      <c r="L121" s="32" t="n"/>
      <c r="M121" s="32" t="n"/>
      <c r="N121" s="32" t="n"/>
      <c r="O121" s="32" t="n"/>
    </row>
    <row r="122">
      <c r="A122" s="32" t="n"/>
      <c r="B122" s="32" t="n"/>
      <c r="C122" s="32" t="n"/>
      <c r="D122" s="32" t="n"/>
      <c r="E122" s="32" t="n"/>
      <c r="F122" s="32" t="n"/>
      <c r="G122" s="32" t="n"/>
      <c r="H122" s="32" t="n"/>
      <c r="I122" s="32" t="n"/>
      <c r="J122" s="32" t="n"/>
      <c r="K122" s="32" t="n"/>
      <c r="L122" s="32" t="n"/>
      <c r="M122" s="32" t="n"/>
      <c r="N122" s="32" t="n"/>
      <c r="O122" s="32" t="n"/>
    </row>
    <row r="123">
      <c r="A123" s="32" t="n"/>
      <c r="B123" s="32" t="n"/>
      <c r="C123" s="32" t="n"/>
      <c r="D123" s="32" t="n"/>
      <c r="E123" s="32" t="n"/>
      <c r="F123" s="32" t="n"/>
      <c r="G123" s="32" t="n"/>
      <c r="H123" s="32" t="n"/>
      <c r="I123" s="32" t="n"/>
      <c r="J123" s="32" t="n"/>
      <c r="K123" s="32" t="n"/>
      <c r="L123" s="32" t="n"/>
      <c r="M123" s="32" t="n"/>
      <c r="N123" s="32" t="n"/>
      <c r="O123" s="32" t="n"/>
    </row>
    <row r="124">
      <c r="A124" s="32" t="n"/>
      <c r="B124" s="32" t="n"/>
      <c r="C124" s="32" t="n"/>
      <c r="D124" s="32" t="n"/>
      <c r="E124" s="32" t="n"/>
      <c r="F124" s="32" t="n"/>
      <c r="G124" s="32" t="n"/>
      <c r="H124" s="32" t="n"/>
      <c r="I124" s="32" t="n"/>
      <c r="J124" s="32" t="n"/>
      <c r="K124" s="32" t="n"/>
      <c r="L124" s="32" t="n"/>
      <c r="M124" s="32" t="n"/>
      <c r="N124" s="32" t="n"/>
      <c r="O124" s="32" t="n"/>
    </row>
    <row r="125">
      <c r="A125" s="32" t="n"/>
      <c r="B125" s="32" t="n"/>
      <c r="C125" s="32" t="n"/>
      <c r="D125" s="32" t="n"/>
      <c r="E125" s="32" t="n"/>
      <c r="F125" s="32" t="n"/>
      <c r="G125" s="32" t="n"/>
      <c r="H125" s="32" t="n"/>
      <c r="I125" s="32" t="n"/>
      <c r="J125" s="32" t="n"/>
      <c r="K125" s="32" t="n"/>
      <c r="L125" s="32" t="n"/>
      <c r="M125" s="32" t="n"/>
      <c r="N125" s="32" t="n"/>
      <c r="O125" s="32" t="n"/>
    </row>
    <row r="126">
      <c r="A126" s="32" t="n"/>
      <c r="B126" s="32" t="n"/>
      <c r="C126" s="32" t="n"/>
      <c r="D126" s="32" t="n"/>
      <c r="E126" s="32" t="n"/>
      <c r="F126" s="32" t="n"/>
      <c r="G126" s="32" t="n"/>
      <c r="H126" s="32" t="n"/>
      <c r="I126" s="32" t="n"/>
      <c r="J126" s="32" t="n"/>
      <c r="K126" s="32" t="n"/>
      <c r="L126" s="32" t="n"/>
      <c r="M126" s="32" t="n"/>
      <c r="N126" s="32" t="n"/>
      <c r="O126" s="32" t="n"/>
    </row>
    <row r="127">
      <c r="A127" s="32" t="n"/>
      <c r="B127" s="32" t="n"/>
      <c r="C127" s="32" t="n"/>
      <c r="D127" s="32" t="n"/>
      <c r="E127" s="32" t="n"/>
      <c r="F127" s="32" t="n"/>
      <c r="G127" s="32" t="n"/>
      <c r="H127" s="32" t="n"/>
      <c r="I127" s="32" t="n"/>
      <c r="J127" s="32" t="n"/>
      <c r="K127" s="32" t="n"/>
      <c r="L127" s="32" t="n"/>
      <c r="M127" s="32" t="n"/>
      <c r="N127" s="32" t="n"/>
      <c r="O127" s="32" t="n"/>
    </row>
    <row r="128">
      <c r="A128" s="32" t="n"/>
      <c r="B128" s="32" t="n"/>
      <c r="C128" s="32" t="n"/>
      <c r="D128" s="32" t="n"/>
      <c r="E128" s="32" t="n"/>
      <c r="F128" s="32" t="n"/>
      <c r="G128" s="32" t="n"/>
      <c r="H128" s="32" t="n"/>
      <c r="I128" s="32" t="n"/>
      <c r="J128" s="32" t="n"/>
      <c r="K128" s="32" t="n"/>
      <c r="L128" s="32" t="n"/>
      <c r="M128" s="32" t="n"/>
      <c r="N128" s="32" t="n"/>
      <c r="O128" s="32" t="n"/>
    </row>
    <row r="129">
      <c r="A129" s="32" t="n"/>
      <c r="B129" s="32" t="n"/>
      <c r="C129" s="32" t="n"/>
      <c r="D129" s="32" t="n"/>
      <c r="E129" s="32" t="n"/>
      <c r="F129" s="32" t="n"/>
      <c r="G129" s="32" t="n"/>
      <c r="H129" s="32" t="n"/>
      <c r="I129" s="32" t="n"/>
      <c r="J129" s="32" t="n"/>
      <c r="K129" s="32" t="n"/>
      <c r="L129" s="32" t="n"/>
      <c r="M129" s="32" t="n"/>
      <c r="N129" s="32" t="n"/>
      <c r="O129" s="32" t="n"/>
    </row>
    <row r="130">
      <c r="A130" s="32" t="n"/>
      <c r="B130" s="32" t="n"/>
      <c r="C130" s="32" t="n"/>
      <c r="D130" s="32" t="n"/>
      <c r="E130" s="32" t="n"/>
      <c r="F130" s="32" t="n"/>
      <c r="G130" s="32" t="n"/>
      <c r="H130" s="32" t="n"/>
      <c r="I130" s="32" t="n"/>
      <c r="J130" s="32" t="n"/>
      <c r="K130" s="32" t="n"/>
      <c r="L130" s="32" t="n"/>
      <c r="M130" s="32" t="n"/>
      <c r="N130" s="32" t="n"/>
      <c r="O130" s="32" t="n"/>
    </row>
    <row r="131">
      <c r="A131" s="32" t="n"/>
      <c r="B131" s="32" t="n"/>
      <c r="C131" s="32" t="n"/>
      <c r="D131" s="32" t="n"/>
      <c r="E131" s="32" t="n"/>
      <c r="F131" s="32" t="n"/>
      <c r="G131" s="32" t="n"/>
      <c r="H131" s="32" t="n"/>
      <c r="I131" s="32" t="n"/>
      <c r="J131" s="32" t="n"/>
      <c r="K131" s="32" t="n"/>
      <c r="L131" s="32" t="n"/>
      <c r="M131" s="32" t="n"/>
      <c r="N131" s="32" t="n"/>
      <c r="O131" s="32" t="n"/>
    </row>
    <row r="132">
      <c r="A132" s="32" t="n"/>
      <c r="B132" s="32" t="n"/>
      <c r="C132" s="32" t="n"/>
      <c r="D132" s="32" t="n"/>
      <c r="E132" s="32" t="n"/>
      <c r="F132" s="32" t="n"/>
      <c r="G132" s="32" t="n"/>
      <c r="H132" s="32" t="n"/>
      <c r="I132" s="32" t="n"/>
      <c r="J132" s="32" t="n"/>
      <c r="K132" s="32" t="n"/>
      <c r="L132" s="32" t="n"/>
      <c r="M132" s="32" t="n"/>
      <c r="N132" s="32" t="n"/>
      <c r="O132" s="32" t="n"/>
    </row>
    <row r="133">
      <c r="A133" s="32" t="n"/>
      <c r="B133" s="32" t="n"/>
      <c r="C133" s="32" t="n"/>
      <c r="D133" s="32" t="n"/>
      <c r="E133" s="32" t="n"/>
      <c r="F133" s="32" t="n"/>
      <c r="G133" s="32" t="n"/>
      <c r="H133" s="32" t="n"/>
      <c r="I133" s="32" t="n"/>
      <c r="J133" s="32" t="n"/>
      <c r="K133" s="32" t="n"/>
      <c r="L133" s="32" t="n"/>
      <c r="M133" s="32" t="n"/>
      <c r="N133" s="32" t="n"/>
      <c r="O133" s="32" t="n"/>
    </row>
    <row r="134">
      <c r="A134" s="32" t="n"/>
      <c r="B134" s="32" t="n"/>
      <c r="C134" s="32" t="n"/>
      <c r="D134" s="32" t="n"/>
      <c r="E134" s="32" t="n"/>
      <c r="F134" s="32" t="n"/>
      <c r="G134" s="32" t="n"/>
      <c r="H134" s="32" t="n"/>
      <c r="I134" s="32" t="n"/>
      <c r="J134" s="32" t="n"/>
      <c r="K134" s="32" t="n"/>
      <c r="L134" s="32" t="n"/>
      <c r="M134" s="32" t="n"/>
      <c r="N134" s="32" t="n"/>
      <c r="O134" s="32" t="n"/>
    </row>
    <row r="135">
      <c r="A135" s="32" t="n"/>
      <c r="B135" s="32" t="n"/>
      <c r="C135" s="32" t="n"/>
      <c r="D135" s="32" t="n"/>
      <c r="E135" s="32" t="n"/>
      <c r="F135" s="32" t="n"/>
      <c r="G135" s="32" t="n"/>
      <c r="H135" s="32" t="n"/>
      <c r="I135" s="32" t="n"/>
      <c r="J135" s="32" t="n"/>
      <c r="K135" s="32" t="n"/>
      <c r="L135" s="32" t="n"/>
      <c r="M135" s="32" t="n"/>
      <c r="N135" s="32" t="n"/>
      <c r="O135" s="32" t="n"/>
    </row>
    <row r="136">
      <c r="A136" s="32" t="n"/>
      <c r="B136" s="32" t="n"/>
      <c r="C136" s="32" t="n"/>
      <c r="D136" s="32" t="n"/>
      <c r="E136" s="32" t="n"/>
      <c r="F136" s="32" t="n"/>
      <c r="G136" s="32" t="n"/>
      <c r="H136" s="32" t="n"/>
      <c r="I136" s="32" t="n"/>
      <c r="J136" s="32" t="n"/>
      <c r="K136" s="32" t="n"/>
      <c r="L136" s="32" t="n"/>
      <c r="M136" s="32" t="n"/>
      <c r="N136" s="32" t="n"/>
      <c r="O136" s="32" t="n"/>
    </row>
    <row r="137">
      <c r="A137" s="32" t="n"/>
      <c r="B137" s="32" t="n"/>
      <c r="C137" s="32" t="n"/>
      <c r="D137" s="32" t="n"/>
      <c r="E137" s="32" t="n"/>
      <c r="F137" s="32" t="n"/>
      <c r="G137" s="32" t="n"/>
      <c r="H137" s="32" t="n"/>
      <c r="I137" s="32" t="n"/>
      <c r="J137" s="32" t="n"/>
      <c r="K137" s="32" t="n"/>
      <c r="L137" s="32" t="n"/>
      <c r="M137" s="32" t="n"/>
      <c r="N137" s="32" t="n"/>
      <c r="O137" s="32" t="n"/>
    </row>
    <row r="138">
      <c r="A138" s="32" t="n"/>
      <c r="B138" s="32" t="n"/>
      <c r="C138" s="32" t="n"/>
      <c r="D138" s="32" t="n"/>
      <c r="E138" s="32" t="n"/>
      <c r="F138" s="32" t="n"/>
      <c r="G138" s="32" t="n"/>
      <c r="H138" s="32" t="n"/>
      <c r="I138" s="32" t="n"/>
      <c r="J138" s="32" t="n"/>
      <c r="K138" s="32" t="n"/>
      <c r="L138" s="32" t="n"/>
      <c r="M138" s="32" t="n"/>
      <c r="N138" s="32" t="n"/>
      <c r="O138" s="32" t="n"/>
    </row>
    <row r="139">
      <c r="A139" s="32" t="n"/>
      <c r="B139" s="32" t="n"/>
      <c r="C139" s="32" t="n"/>
      <c r="D139" s="32" t="n"/>
      <c r="E139" s="32" t="n"/>
      <c r="F139" s="32" t="n"/>
      <c r="G139" s="32" t="n"/>
      <c r="H139" s="32" t="n"/>
      <c r="I139" s="32" t="n"/>
      <c r="J139" s="32" t="n"/>
      <c r="K139" s="32" t="n"/>
      <c r="L139" s="32" t="n"/>
      <c r="M139" s="32" t="n"/>
      <c r="N139" s="32" t="n"/>
      <c r="O139" s="32" t="n"/>
    </row>
    <row r="140">
      <c r="A140" s="32" t="n"/>
      <c r="B140" s="32" t="n"/>
      <c r="C140" s="32" t="n"/>
      <c r="D140" s="32" t="n"/>
      <c r="E140" s="32" t="n"/>
      <c r="F140" s="32" t="n"/>
      <c r="G140" s="32" t="n"/>
      <c r="H140" s="32" t="n"/>
      <c r="I140" s="32" t="n"/>
      <c r="J140" s="32" t="n"/>
      <c r="K140" s="32" t="n"/>
      <c r="L140" s="32" t="n"/>
      <c r="M140" s="32" t="n"/>
      <c r="N140" s="32" t="n"/>
      <c r="O140" s="32" t="n"/>
    </row>
  </sheetData>
  <mergeCells count="2">
    <mergeCell ref="A1:O1"/>
    <mergeCell ref="A2:O2"/>
  </mergeCells>
  <conditionalFormatting sqref="G5:G140">
    <cfRule type="expression" priority="1" dxfId="0">
      <formula>G5="PASS"</formula>
    </cfRule>
    <cfRule type="expression" priority="2" dxfId="1">
      <formula>G5="FAIL"</formula>
    </cfRule>
    <cfRule type="expression" priority="3" dxfId="2">
      <formula>G5="RETEST REQUIRED"</formula>
    </cfRule>
    <cfRule type="expression" priority="4" dxfId="3">
      <formula>G5="BLOCKED"</formula>
    </cfRule>
    <cfRule type="expression" priority="5" dxfId="4">
      <formula>G5="PENDING"</formula>
    </cfRule>
  </conditionalFormatting>
  <conditionalFormatting sqref="K5:K140">
    <cfRule type="expression" priority="6" dxfId="5">
      <formula>K5="Critical"</formula>
    </cfRule>
    <cfRule type="expression" priority="7" dxfId="3">
      <formula>K5="High"</formula>
    </cfRule>
    <cfRule type="expression" priority="8" dxfId="2">
      <formula>K5="Medium"</formula>
    </cfRule>
  </conditionalFormatting>
  <dataValidations count="4">
    <dataValidation sqref="G5:G140" showDropDown="0" showInputMessage="0" showErrorMessage="0" allowBlank="0" type="list">
      <formula1>"PENDING,PASS,FAIL,N/A,RETEST REQUIRED,BLOCKED"</formula1>
    </dataValidation>
    <dataValidation sqref="K5:K140" showDropDown="0" showInputMessage="0" showErrorMessage="0" allowBlank="0" type="list">
      <formula1>"Low,Medium,High,Critical"</formula1>
    </dataValidation>
    <dataValidation sqref="L5:L140" showDropDown="0" showInputMessage="0" showErrorMessage="0" allowBlank="0" type="list">
      <formula1>"Hardik,Manus,ChatGPT,Hardware,Home Assistant,LocalTuya,Firmware,Other"</formula1>
    </dataValidation>
    <dataValidation sqref="M5:N140" showDropDown="0" showInputMessage="0" showErrorMessage="0" allowBlank="0" type="list">
      <formula1>"Yes,No,N/A"</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O180"/>
  <sheetViews>
    <sheetView workbookViewId="0">
      <pane ySplit="4" topLeftCell="A5" activePane="bottomLeft" state="frozen"/>
      <selection pane="bottomLeft" activeCell="A1" sqref="A1"/>
    </sheetView>
  </sheetViews>
  <sheetFormatPr baseColWidth="8" defaultRowHeight="15"/>
  <cols>
    <col width="9" customWidth="1" min="1" max="1"/>
    <col width="22" customWidth="1" min="2" max="2"/>
    <col width="13" customWidth="1" min="3" max="3"/>
    <col width="33" customWidth="1" min="4" max="4"/>
    <col width="39" customWidth="1" min="5" max="5"/>
    <col width="40" customWidth="1" min="6" max="6"/>
    <col width="9" customWidth="1" min="7" max="7"/>
    <col width="15" customWidth="1" min="8" max="8"/>
    <col width="13" customWidth="1" min="9" max="9"/>
    <col width="14" customWidth="1" min="10" max="10"/>
    <col width="10" customWidth="1" min="11" max="11"/>
    <col width="16" customWidth="1" min="12" max="12"/>
    <col width="11" customWidth="1" min="13" max="13"/>
    <col width="16" customWidth="1" min="14" max="14"/>
    <col width="13" customWidth="1" min="15" max="15"/>
  </cols>
  <sheetData>
    <row r="1" ht="28" customHeight="1">
      <c r="A1" s="50" t="inlineStr">
        <is>
          <t>Stage 4 — Door-Side Physical Validation</t>
        </is>
      </c>
      <c r="B1" s="51" t="n"/>
      <c r="C1" s="51" t="n"/>
      <c r="D1" s="51" t="n"/>
      <c r="E1" s="51" t="n"/>
      <c r="F1" s="51" t="n"/>
      <c r="G1" s="51" t="n"/>
      <c r="H1" s="51" t="n"/>
      <c r="I1" s="51" t="n"/>
      <c r="J1" s="51" t="n"/>
      <c r="K1" s="51" t="n"/>
      <c r="L1" s="51" t="n"/>
      <c r="M1" s="51" t="n"/>
      <c r="N1" s="51" t="n"/>
      <c r="O1" s="51" t="n"/>
    </row>
    <row r="2" ht="36" customHeight="1">
      <c r="A2" s="52" t="inlineStr">
        <is>
          <t>This is the main safety and UX validation for the ELECROW knob/display.</t>
        </is>
      </c>
      <c r="B2" s="53" t="n"/>
      <c r="C2" s="53" t="n"/>
      <c r="D2" s="53" t="n"/>
      <c r="E2" s="53" t="n"/>
      <c r="F2" s="53" t="n"/>
      <c r="G2" s="53" t="n"/>
      <c r="H2" s="53" t="n"/>
      <c r="I2" s="53" t="n"/>
      <c r="J2" s="53" t="n"/>
      <c r="K2" s="53" t="n"/>
      <c r="L2" s="53" t="n"/>
      <c r="M2" s="53" t="n"/>
      <c r="N2" s="53" t="n"/>
      <c r="O2" s="53" t="n"/>
    </row>
    <row r="4" ht="36" customHeight="1">
      <c r="A4" s="42" t="inlineStr">
        <is>
          <t>Step ID</t>
        </is>
      </c>
      <c r="B4" s="42" t="inlineStr">
        <is>
          <t>Stage</t>
        </is>
      </c>
      <c r="C4" s="42" t="inlineStr">
        <is>
          <t>Category</t>
        </is>
      </c>
      <c r="D4" s="42" t="inlineStr">
        <is>
          <t>Step / Test</t>
        </is>
      </c>
      <c r="E4" s="42" t="inlineStr">
        <is>
          <t>Command / Action</t>
        </is>
      </c>
      <c r="F4" s="42" t="inlineStr">
        <is>
          <t>Expected Result</t>
        </is>
      </c>
      <c r="G4" s="42" t="inlineStr">
        <is>
          <t>Status</t>
        </is>
      </c>
      <c r="H4" s="42" t="inlineStr">
        <is>
          <t>Actual Result</t>
        </is>
      </c>
      <c r="I4" s="42" t="inlineStr">
        <is>
          <t>Observation</t>
        </is>
      </c>
      <c r="J4" s="42" t="inlineStr">
        <is>
          <t>Evidence Ref</t>
        </is>
      </c>
      <c r="K4" s="42" t="inlineStr">
        <is>
          <t>Severity</t>
        </is>
      </c>
      <c r="L4" s="42" t="inlineStr">
        <is>
          <t>Owner</t>
        </is>
      </c>
      <c r="M4" s="42" t="inlineStr">
        <is>
          <t>Blocking?</t>
        </is>
      </c>
      <c r="N4" s="42" t="inlineStr">
        <is>
          <t>AI Fix Needed?</t>
        </is>
      </c>
      <c r="O4" s="42" t="inlineStr">
        <is>
          <t>Next Action</t>
        </is>
      </c>
    </row>
    <row r="5">
      <c r="A5" s="54" t="inlineStr">
        <is>
          <t>DOOR-01</t>
        </is>
      </c>
      <c r="B5" s="44" t="inlineStr">
        <is>
          <t>Stage 4 — Door Tests</t>
        </is>
      </c>
      <c r="C5" s="44" t="inlineStr">
        <is>
          <t>Wake</t>
        </is>
      </c>
      <c r="D5" s="44" t="inlineStr">
        <is>
          <t>Screen sleep/idle</t>
        </is>
      </c>
      <c r="E5" s="44" t="inlineStr">
        <is>
          <t>Leave idle until timeout</t>
        </is>
      </c>
      <c r="F5" s="44" t="inlineStr">
        <is>
          <t>Screen dims/sleeps</t>
        </is>
      </c>
      <c r="G5" s="55" t="inlineStr">
        <is>
          <t>PENDING</t>
        </is>
      </c>
      <c r="H5" s="44" t="str"/>
      <c r="I5" s="44" t="str"/>
      <c r="J5" s="44" t="str"/>
      <c r="K5" s="44" t="inlineStr">
        <is>
          <t>Medium</t>
        </is>
      </c>
      <c r="L5" s="44" t="inlineStr">
        <is>
          <t>Hardware</t>
        </is>
      </c>
      <c r="M5" s="44" t="inlineStr">
        <is>
          <t>No</t>
        </is>
      </c>
      <c r="N5" s="44" t="inlineStr">
        <is>
          <t>No</t>
        </is>
      </c>
      <c r="O5" s="44" t="str"/>
    </row>
    <row r="6">
      <c r="A6" s="57" t="inlineStr">
        <is>
          <t>DOOR-02</t>
        </is>
      </c>
      <c r="B6" s="43" t="inlineStr">
        <is>
          <t>Stage 4 — Door Tests</t>
        </is>
      </c>
      <c r="C6" s="43" t="inlineStr">
        <is>
          <t>Wake</t>
        </is>
      </c>
      <c r="D6" s="43" t="inlineStr">
        <is>
          <t>Touch wake-only-first</t>
        </is>
      </c>
      <c r="E6" s="43" t="inlineStr">
        <is>
          <t>Tap sleeping screen once</t>
        </is>
      </c>
      <c r="F6" s="43" t="inlineStr">
        <is>
          <t>Wakes only, no action</t>
        </is>
      </c>
      <c r="G6" s="55" t="inlineStr">
        <is>
          <t>PENDING</t>
        </is>
      </c>
      <c r="H6" s="43" t="str"/>
      <c r="I6" s="43" t="str"/>
      <c r="J6" s="43" t="str"/>
      <c r="K6" s="59" t="inlineStr">
        <is>
          <t>Critical</t>
        </is>
      </c>
      <c r="L6" s="43" t="inlineStr">
        <is>
          <t>Firmware</t>
        </is>
      </c>
      <c r="M6" s="43" t="inlineStr">
        <is>
          <t>Yes</t>
        </is>
      </c>
      <c r="N6" s="43" t="inlineStr">
        <is>
          <t>No</t>
        </is>
      </c>
      <c r="O6" s="43" t="str"/>
    </row>
    <row r="7">
      <c r="A7" s="54" t="inlineStr">
        <is>
          <t>DOOR-03</t>
        </is>
      </c>
      <c r="B7" s="44" t="inlineStr">
        <is>
          <t>Stage 4 — Door Tests</t>
        </is>
      </c>
      <c r="C7" s="44" t="inlineStr">
        <is>
          <t>Wake</t>
        </is>
      </c>
      <c r="D7" s="44" t="inlineStr">
        <is>
          <t>Knob rotate wake-only-first</t>
        </is>
      </c>
      <c r="E7" s="44" t="inlineStr">
        <is>
          <t>Rotate sleeping knob one detent</t>
        </is>
      </c>
      <c r="F7" s="44" t="inlineStr">
        <is>
          <t>Wakes only, no brightness/preset change</t>
        </is>
      </c>
      <c r="G7" s="55" t="inlineStr">
        <is>
          <t>PENDING</t>
        </is>
      </c>
      <c r="H7" s="44" t="str"/>
      <c r="I7" s="44" t="str"/>
      <c r="J7" s="44" t="str"/>
      <c r="K7" s="60" t="inlineStr">
        <is>
          <t>Critical</t>
        </is>
      </c>
      <c r="L7" s="44" t="inlineStr">
        <is>
          <t>Firmware</t>
        </is>
      </c>
      <c r="M7" s="44" t="inlineStr">
        <is>
          <t>Yes</t>
        </is>
      </c>
      <c r="N7" s="44" t="inlineStr">
        <is>
          <t>No</t>
        </is>
      </c>
      <c r="O7" s="44" t="str"/>
    </row>
    <row r="8">
      <c r="A8" s="57" t="inlineStr">
        <is>
          <t>DOOR-04</t>
        </is>
      </c>
      <c r="B8" s="43" t="inlineStr">
        <is>
          <t>Stage 4 — Door Tests</t>
        </is>
      </c>
      <c r="C8" s="43" t="inlineStr">
        <is>
          <t>Wake</t>
        </is>
      </c>
      <c r="D8" s="43" t="inlineStr">
        <is>
          <t>Knob press wake-only-first</t>
        </is>
      </c>
      <c r="E8" s="43" t="inlineStr">
        <is>
          <t>Press sleeping knob once</t>
        </is>
      </c>
      <c r="F8" s="43" t="inlineStr">
        <is>
          <t>Wakes only, no toggle</t>
        </is>
      </c>
      <c r="G8" s="55" t="inlineStr">
        <is>
          <t>PENDING</t>
        </is>
      </c>
      <c r="H8" s="43" t="str"/>
      <c r="I8" s="43" t="str"/>
      <c r="J8" s="43" t="str"/>
      <c r="K8" s="59" t="inlineStr">
        <is>
          <t>Critical</t>
        </is>
      </c>
      <c r="L8" s="43" t="inlineStr">
        <is>
          <t>Firmware</t>
        </is>
      </c>
      <c r="M8" s="43" t="inlineStr">
        <is>
          <t>Yes</t>
        </is>
      </c>
      <c r="N8" s="43" t="inlineStr">
        <is>
          <t>No</t>
        </is>
      </c>
      <c r="O8" s="43" t="str"/>
    </row>
    <row r="9">
      <c r="A9" s="54" t="inlineStr">
        <is>
          <t>DOOR-05</t>
        </is>
      </c>
      <c r="B9" s="44" t="inlineStr">
        <is>
          <t>Stage 4 — Door Tests</t>
        </is>
      </c>
      <c r="C9" s="44" t="inlineStr">
        <is>
          <t>Press</t>
        </is>
      </c>
      <c r="D9" s="44" t="inlineStr">
        <is>
          <t>Short press on Power</t>
        </is>
      </c>
      <c r="E9" s="44" t="inlineStr">
        <is>
          <t>Short press while awake on Power page</t>
        </is>
      </c>
      <c r="F9" s="44" t="inlineStr">
        <is>
          <t>Toggles light.bedroom_group</t>
        </is>
      </c>
      <c r="G9" s="55" t="inlineStr">
        <is>
          <t>PENDING</t>
        </is>
      </c>
      <c r="H9" s="44" t="str"/>
      <c r="I9" s="44" t="str"/>
      <c r="J9" s="44" t="str"/>
      <c r="K9" s="60" t="inlineStr">
        <is>
          <t>Critical</t>
        </is>
      </c>
      <c r="L9" s="44" t="inlineStr">
        <is>
          <t>Firmware</t>
        </is>
      </c>
      <c r="M9" s="44" t="inlineStr">
        <is>
          <t>Yes</t>
        </is>
      </c>
      <c r="N9" s="44" t="inlineStr">
        <is>
          <t>No</t>
        </is>
      </c>
      <c r="O9" s="44" t="str"/>
    </row>
    <row r="10">
      <c r="A10" s="57" t="inlineStr">
        <is>
          <t>DOOR-06</t>
        </is>
      </c>
      <c r="B10" s="43" t="inlineStr">
        <is>
          <t>Stage 4 — Door Tests</t>
        </is>
      </c>
      <c r="C10" s="43" t="inlineStr">
        <is>
          <t>Press</t>
        </is>
      </c>
      <c r="D10" s="43" t="inlineStr">
        <is>
          <t>Long press opens Theme Selector</t>
        </is>
      </c>
      <c r="E10" s="43" t="inlineStr">
        <is>
          <t>Hold knob &gt;1.5s</t>
        </is>
      </c>
      <c r="F10" s="43" t="inlineStr">
        <is>
          <t>Theme Selector opens</t>
        </is>
      </c>
      <c r="G10" s="55" t="inlineStr">
        <is>
          <t>PENDING</t>
        </is>
      </c>
      <c r="H10" s="43" t="str"/>
      <c r="I10" s="43" t="str"/>
      <c r="J10" s="43" t="str"/>
      <c r="K10" s="59" t="inlineStr">
        <is>
          <t>Critical</t>
        </is>
      </c>
      <c r="L10" s="43" t="inlineStr">
        <is>
          <t>Firmware</t>
        </is>
      </c>
      <c r="M10" s="43" t="inlineStr">
        <is>
          <t>Yes</t>
        </is>
      </c>
      <c r="N10" s="43" t="inlineStr">
        <is>
          <t>No</t>
        </is>
      </c>
      <c r="O10" s="43" t="str"/>
    </row>
    <row r="11">
      <c r="A11" s="54" t="inlineStr">
        <is>
          <t>DOOR-07</t>
        </is>
      </c>
      <c r="B11" s="44" t="inlineStr">
        <is>
          <t>Stage 4 — Door Tests</t>
        </is>
      </c>
      <c r="C11" s="44" t="inlineStr">
        <is>
          <t>Press</t>
        </is>
      </c>
      <c r="D11" s="44" t="inlineStr">
        <is>
          <t>Long press isolation</t>
        </is>
      </c>
      <c r="E11" s="44" t="inlineStr">
        <is>
          <t>Watch lights while long-pressing</t>
        </is>
      </c>
      <c r="F11" s="44" t="inlineStr">
        <is>
          <t>Long press does NOT toggle/apply</t>
        </is>
      </c>
      <c r="G11" s="55" t="inlineStr">
        <is>
          <t>PENDING</t>
        </is>
      </c>
      <c r="H11" s="44" t="str"/>
      <c r="I11" s="44" t="str"/>
      <c r="J11" s="44" t="str"/>
      <c r="K11" s="60" t="inlineStr">
        <is>
          <t>Critical</t>
        </is>
      </c>
      <c r="L11" s="44" t="inlineStr">
        <is>
          <t>Firmware</t>
        </is>
      </c>
      <c r="M11" s="44" t="inlineStr">
        <is>
          <t>Yes</t>
        </is>
      </c>
      <c r="N11" s="44" t="inlineStr">
        <is>
          <t>No</t>
        </is>
      </c>
      <c r="O11" s="44" t="str"/>
    </row>
    <row r="12">
      <c r="A12" s="57" t="inlineStr">
        <is>
          <t>DOOR-08</t>
        </is>
      </c>
      <c r="B12" s="43" t="inlineStr">
        <is>
          <t>Stage 4 — Door Tests</t>
        </is>
      </c>
      <c r="C12" s="43" t="inlineStr">
        <is>
          <t>Navigation</t>
        </is>
      </c>
      <c r="D12" s="43" t="inlineStr">
        <is>
          <t>Swipe navigation</t>
        </is>
      </c>
      <c r="E12" s="43" t="inlineStr">
        <is>
          <t>Swipe left/right</t>
        </is>
      </c>
      <c r="F12" s="43" t="inlineStr">
        <is>
          <t>Pages change correctly</t>
        </is>
      </c>
      <c r="G12" s="55" t="inlineStr">
        <is>
          <t>PENDING</t>
        </is>
      </c>
      <c r="H12" s="43" t="str"/>
      <c r="I12" s="43" t="str"/>
      <c r="J12" s="43" t="str"/>
      <c r="K12" s="58" t="inlineStr">
        <is>
          <t>High</t>
        </is>
      </c>
      <c r="L12" s="43" t="inlineStr">
        <is>
          <t>Hardware</t>
        </is>
      </c>
      <c r="M12" s="43" t="inlineStr">
        <is>
          <t>No</t>
        </is>
      </c>
      <c r="N12" s="43" t="inlineStr">
        <is>
          <t>No</t>
        </is>
      </c>
      <c r="O12" s="43" t="str"/>
    </row>
    <row r="13">
      <c r="A13" s="54" t="inlineStr">
        <is>
          <t>DOOR-09</t>
        </is>
      </c>
      <c r="B13" s="44" t="inlineStr">
        <is>
          <t>Stage 4 — Door Tests</t>
        </is>
      </c>
      <c r="C13" s="44" t="inlineStr">
        <is>
          <t>Brightness</t>
        </is>
      </c>
      <c r="D13" s="44" t="inlineStr">
        <is>
          <t>Brightness control</t>
        </is>
      </c>
      <c r="E13" s="44" t="inlineStr">
        <is>
          <t>Rotate on Brightness page</t>
        </is>
      </c>
      <c r="F13" s="44" t="inlineStr">
        <is>
          <t>Brightness changes and HA reflects state</t>
        </is>
      </c>
      <c r="G13" s="55" t="inlineStr">
        <is>
          <t>PENDING</t>
        </is>
      </c>
      <c r="H13" s="44" t="str"/>
      <c r="I13" s="44" t="str"/>
      <c r="J13" s="44" t="str"/>
      <c r="K13" s="60" t="inlineStr">
        <is>
          <t>Critical</t>
        </is>
      </c>
      <c r="L13" s="44" t="inlineStr">
        <is>
          <t>Firmware</t>
        </is>
      </c>
      <c r="M13" s="44" t="inlineStr">
        <is>
          <t>Yes</t>
        </is>
      </c>
      <c r="N13" s="44" t="inlineStr">
        <is>
          <t>No</t>
        </is>
      </c>
      <c r="O13" s="44" t="str"/>
    </row>
    <row r="14">
      <c r="A14" s="57" t="inlineStr">
        <is>
          <t>DOOR-10</t>
        </is>
      </c>
      <c r="B14" s="43" t="inlineStr">
        <is>
          <t>Stage 4 — Door Tests</t>
        </is>
      </c>
      <c r="C14" s="43" t="inlineStr">
        <is>
          <t>Presets</t>
        </is>
      </c>
      <c r="D14" s="43" t="inlineStr">
        <is>
          <t>Warm White preset</t>
        </is>
      </c>
      <c r="E14" s="43" t="inlineStr">
        <is>
          <t>Apply Warm White</t>
        </is>
      </c>
      <c r="F14" s="43" t="inlineStr">
        <is>
          <t>Group changes to Warm White target</t>
        </is>
      </c>
      <c r="G14" s="55" t="inlineStr">
        <is>
          <t>PENDING</t>
        </is>
      </c>
      <c r="H14" s="43" t="str"/>
      <c r="I14" s="43" t="str"/>
      <c r="J14" s="43" t="str"/>
      <c r="K14" s="58" t="inlineStr">
        <is>
          <t>High</t>
        </is>
      </c>
      <c r="L14" s="43" t="inlineStr">
        <is>
          <t>Firmware</t>
        </is>
      </c>
      <c r="M14" s="43" t="inlineStr">
        <is>
          <t>No</t>
        </is>
      </c>
      <c r="N14" s="43" t="inlineStr">
        <is>
          <t>No</t>
        </is>
      </c>
      <c r="O14" s="43" t="str"/>
    </row>
    <row r="15">
      <c r="A15" s="54" t="inlineStr">
        <is>
          <t>DOOR-11</t>
        </is>
      </c>
      <c r="B15" s="44" t="inlineStr">
        <is>
          <t>Stage 4 — Door Tests</t>
        </is>
      </c>
      <c r="C15" s="44" t="inlineStr">
        <is>
          <t>Presets</t>
        </is>
      </c>
      <c r="D15" s="44" t="inlineStr">
        <is>
          <t>Soft Amber preset</t>
        </is>
      </c>
      <c r="E15" s="44" t="inlineStr">
        <is>
          <t>Apply Soft Amber</t>
        </is>
      </c>
      <c r="F15" s="44" t="inlineStr">
        <is>
          <t>Group changes to Soft Amber target</t>
        </is>
      </c>
      <c r="G15" s="55" t="inlineStr">
        <is>
          <t>PENDING</t>
        </is>
      </c>
      <c r="H15" s="44" t="str"/>
      <c r="I15" s="44" t="str"/>
      <c r="J15" s="44" t="str"/>
      <c r="K15" s="56" t="inlineStr">
        <is>
          <t>High</t>
        </is>
      </c>
      <c r="L15" s="44" t="inlineStr">
        <is>
          <t>Firmware</t>
        </is>
      </c>
      <c r="M15" s="44" t="inlineStr">
        <is>
          <t>No</t>
        </is>
      </c>
      <c r="N15" s="44" t="inlineStr">
        <is>
          <t>No</t>
        </is>
      </c>
      <c r="O15" s="44" t="str"/>
    </row>
    <row r="16">
      <c r="A16" s="57" t="inlineStr">
        <is>
          <t>DOOR-12</t>
        </is>
      </c>
      <c r="B16" s="43" t="inlineStr">
        <is>
          <t>Stage 4 — Door Tests</t>
        </is>
      </c>
      <c r="C16" s="43" t="inlineStr">
        <is>
          <t>Presets</t>
        </is>
      </c>
      <c r="D16" s="43" t="inlineStr">
        <is>
          <t>Neutral White preset</t>
        </is>
      </c>
      <c r="E16" s="43" t="inlineStr">
        <is>
          <t>Apply Neutral White</t>
        </is>
      </c>
      <c r="F16" s="43" t="inlineStr">
        <is>
          <t>Group changes to Neutral White target</t>
        </is>
      </c>
      <c r="G16" s="55" t="inlineStr">
        <is>
          <t>PENDING</t>
        </is>
      </c>
      <c r="H16" s="43" t="str"/>
      <c r="I16" s="43" t="str"/>
      <c r="J16" s="43" t="str"/>
      <c r="K16" s="58" t="inlineStr">
        <is>
          <t>High</t>
        </is>
      </c>
      <c r="L16" s="43" t="inlineStr">
        <is>
          <t>Firmware</t>
        </is>
      </c>
      <c r="M16" s="43" t="inlineStr">
        <is>
          <t>No</t>
        </is>
      </c>
      <c r="N16" s="43" t="inlineStr">
        <is>
          <t>No</t>
        </is>
      </c>
      <c r="O16" s="43" t="str"/>
    </row>
    <row r="17">
      <c r="A17" s="54" t="inlineStr">
        <is>
          <t>DOOR-13</t>
        </is>
      </c>
      <c r="B17" s="44" t="inlineStr">
        <is>
          <t>Stage 4 — Door Tests</t>
        </is>
      </c>
      <c r="C17" s="44" t="inlineStr">
        <is>
          <t>Presets</t>
        </is>
      </c>
      <c r="D17" s="44" t="inlineStr">
        <is>
          <t>Low Nightlight preset</t>
        </is>
      </c>
      <c r="E17" s="44" t="inlineStr">
        <is>
          <t>Apply Low Nightlight</t>
        </is>
      </c>
      <c r="F17" s="44" t="inlineStr">
        <is>
          <t>Group changes to Low Nightlight target</t>
        </is>
      </c>
      <c r="G17" s="55" t="inlineStr">
        <is>
          <t>PENDING</t>
        </is>
      </c>
      <c r="H17" s="44" t="str"/>
      <c r="I17" s="44" t="str"/>
      <c r="J17" s="44" t="str"/>
      <c r="K17" s="56" t="inlineStr">
        <is>
          <t>High</t>
        </is>
      </c>
      <c r="L17" s="44" t="inlineStr">
        <is>
          <t>Firmware</t>
        </is>
      </c>
      <c r="M17" s="44" t="inlineStr">
        <is>
          <t>No</t>
        </is>
      </c>
      <c r="N17" s="44" t="inlineStr">
        <is>
          <t>No</t>
        </is>
      </c>
      <c r="O17" s="44" t="str"/>
    </row>
    <row r="18">
      <c r="A18" s="57" t="inlineStr">
        <is>
          <t>DOOR-14</t>
        </is>
      </c>
      <c r="B18" s="43" t="inlineStr">
        <is>
          <t>Stage 4 — Door Tests</t>
        </is>
      </c>
      <c r="C18" s="43" t="inlineStr">
        <is>
          <t>Unavailable</t>
        </is>
      </c>
      <c r="D18" s="43" t="inlineStr">
        <is>
          <t>API unavailable state</t>
        </is>
      </c>
      <c r="E18" s="43" t="inlineStr">
        <is>
          <t>Safely disconnect HA/network</t>
        </is>
      </c>
      <c r="F18" s="43" t="inlineStr">
        <is>
          <t>UI shows unavailable, no crash</t>
        </is>
      </c>
      <c r="G18" s="55" t="inlineStr">
        <is>
          <t>PENDING</t>
        </is>
      </c>
      <c r="H18" s="43" t="str"/>
      <c r="I18" s="43" t="str"/>
      <c r="J18" s="43" t="str"/>
      <c r="K18" s="58" t="inlineStr">
        <is>
          <t>High</t>
        </is>
      </c>
      <c r="L18" s="43" t="inlineStr">
        <is>
          <t>Home Assistant</t>
        </is>
      </c>
      <c r="M18" s="43" t="inlineStr">
        <is>
          <t>No</t>
        </is>
      </c>
      <c r="N18" s="43" t="inlineStr">
        <is>
          <t>No</t>
        </is>
      </c>
      <c r="O18" s="43" t="str"/>
    </row>
    <row r="19">
      <c r="A19" s="32" t="n"/>
      <c r="B19" s="32" t="n"/>
      <c r="C19" s="32" t="n"/>
      <c r="D19" s="32" t="n"/>
      <c r="E19" s="32" t="n"/>
      <c r="F19" s="32" t="n"/>
      <c r="G19" s="32" t="n"/>
      <c r="H19" s="32" t="n"/>
      <c r="I19" s="32" t="n"/>
      <c r="J19" s="32" t="n"/>
      <c r="K19" s="32" t="n"/>
      <c r="L19" s="32" t="n"/>
      <c r="M19" s="32" t="n"/>
      <c r="N19" s="32" t="n"/>
      <c r="O19" s="32" t="n"/>
    </row>
    <row r="20">
      <c r="A20" s="32" t="n"/>
      <c r="B20" s="32" t="n"/>
      <c r="C20" s="32" t="n"/>
      <c r="D20" s="32" t="n"/>
      <c r="E20" s="32" t="n"/>
      <c r="F20" s="32" t="n"/>
      <c r="G20" s="32" t="n"/>
      <c r="H20" s="32" t="n"/>
      <c r="I20" s="32" t="n"/>
      <c r="J20" s="32" t="n"/>
      <c r="K20" s="32" t="n"/>
      <c r="L20" s="32" t="n"/>
      <c r="M20" s="32" t="n"/>
      <c r="N20" s="32" t="n"/>
      <c r="O20" s="32" t="n"/>
    </row>
    <row r="21">
      <c r="A21" s="32" t="n"/>
      <c r="B21" s="32" t="n"/>
      <c r="C21" s="32" t="n"/>
      <c r="D21" s="32" t="n"/>
      <c r="E21" s="32" t="n"/>
      <c r="F21" s="32" t="n"/>
      <c r="G21" s="32" t="n"/>
      <c r="H21" s="32" t="n"/>
      <c r="I21" s="32" t="n"/>
      <c r="J21" s="32" t="n"/>
      <c r="K21" s="32" t="n"/>
      <c r="L21" s="32" t="n"/>
      <c r="M21" s="32" t="n"/>
      <c r="N21" s="32" t="n"/>
      <c r="O21" s="32" t="n"/>
    </row>
    <row r="22">
      <c r="A22" s="32" t="n"/>
      <c r="B22" s="32" t="n"/>
      <c r="C22" s="32" t="n"/>
      <c r="D22" s="32" t="n"/>
      <c r="E22" s="32" t="n"/>
      <c r="F22" s="32" t="n"/>
      <c r="G22" s="32" t="n"/>
      <c r="H22" s="32" t="n"/>
      <c r="I22" s="32" t="n"/>
      <c r="J22" s="32" t="n"/>
      <c r="K22" s="32" t="n"/>
      <c r="L22" s="32" t="n"/>
      <c r="M22" s="32" t="n"/>
      <c r="N22" s="32" t="n"/>
      <c r="O22" s="32" t="n"/>
    </row>
    <row r="23">
      <c r="A23" s="32" t="n"/>
      <c r="B23" s="32" t="n"/>
      <c r="C23" s="32" t="n"/>
      <c r="D23" s="32" t="n"/>
      <c r="E23" s="32" t="n"/>
      <c r="F23" s="32" t="n"/>
      <c r="G23" s="32" t="n"/>
      <c r="H23" s="32" t="n"/>
      <c r="I23" s="32" t="n"/>
      <c r="J23" s="32" t="n"/>
      <c r="K23" s="32" t="n"/>
      <c r="L23" s="32" t="n"/>
      <c r="M23" s="32" t="n"/>
      <c r="N23" s="32" t="n"/>
      <c r="O23" s="32" t="n"/>
    </row>
    <row r="24">
      <c r="A24" s="32" t="n"/>
      <c r="B24" s="32" t="n"/>
      <c r="C24" s="32" t="n"/>
      <c r="D24" s="32" t="n"/>
      <c r="E24" s="32" t="n"/>
      <c r="F24" s="32" t="n"/>
      <c r="G24" s="32" t="n"/>
      <c r="H24" s="32" t="n"/>
      <c r="I24" s="32" t="n"/>
      <c r="J24" s="32" t="n"/>
      <c r="K24" s="32" t="n"/>
      <c r="L24" s="32" t="n"/>
      <c r="M24" s="32" t="n"/>
      <c r="N24" s="32" t="n"/>
      <c r="O24" s="32" t="n"/>
    </row>
    <row r="25">
      <c r="A25" s="32" t="n"/>
      <c r="B25" s="32" t="n"/>
      <c r="C25" s="32" t="n"/>
      <c r="D25" s="32" t="n"/>
      <c r="E25" s="32" t="n"/>
      <c r="F25" s="32" t="n"/>
      <c r="G25" s="32" t="n"/>
      <c r="H25" s="32" t="n"/>
      <c r="I25" s="32" t="n"/>
      <c r="J25" s="32" t="n"/>
      <c r="K25" s="32" t="n"/>
      <c r="L25" s="32" t="n"/>
      <c r="M25" s="32" t="n"/>
      <c r="N25" s="32" t="n"/>
      <c r="O25" s="32" t="n"/>
    </row>
    <row r="26">
      <c r="A26" s="32" t="n"/>
      <c r="B26" s="32" t="n"/>
      <c r="C26" s="32" t="n"/>
      <c r="D26" s="32" t="n"/>
      <c r="E26" s="32" t="n"/>
      <c r="F26" s="32" t="n"/>
      <c r="G26" s="32" t="n"/>
      <c r="H26" s="32" t="n"/>
      <c r="I26" s="32" t="n"/>
      <c r="J26" s="32" t="n"/>
      <c r="K26" s="32" t="n"/>
      <c r="L26" s="32" t="n"/>
      <c r="M26" s="32" t="n"/>
      <c r="N26" s="32" t="n"/>
      <c r="O26" s="32" t="n"/>
    </row>
    <row r="27">
      <c r="A27" s="32" t="n"/>
      <c r="B27" s="32" t="n"/>
      <c r="C27" s="32" t="n"/>
      <c r="D27" s="32" t="n"/>
      <c r="E27" s="32" t="n"/>
      <c r="F27" s="32" t="n"/>
      <c r="G27" s="32" t="n"/>
      <c r="H27" s="32" t="n"/>
      <c r="I27" s="32" t="n"/>
      <c r="J27" s="32" t="n"/>
      <c r="K27" s="32" t="n"/>
      <c r="L27" s="32" t="n"/>
      <c r="M27" s="32" t="n"/>
      <c r="N27" s="32" t="n"/>
      <c r="O27" s="32" t="n"/>
    </row>
    <row r="28">
      <c r="A28" s="32" t="n"/>
      <c r="B28" s="32" t="n"/>
      <c r="C28" s="32" t="n"/>
      <c r="D28" s="32" t="n"/>
      <c r="E28" s="32" t="n"/>
      <c r="F28" s="32" t="n"/>
      <c r="G28" s="32" t="n"/>
      <c r="H28" s="32" t="n"/>
      <c r="I28" s="32" t="n"/>
      <c r="J28" s="32" t="n"/>
      <c r="K28" s="32" t="n"/>
      <c r="L28" s="32" t="n"/>
      <c r="M28" s="32" t="n"/>
      <c r="N28" s="32" t="n"/>
      <c r="O28" s="32" t="n"/>
    </row>
    <row r="29">
      <c r="A29" s="32" t="n"/>
      <c r="B29" s="32" t="n"/>
      <c r="C29" s="32" t="n"/>
      <c r="D29" s="32" t="n"/>
      <c r="E29" s="32" t="n"/>
      <c r="F29" s="32" t="n"/>
      <c r="G29" s="32" t="n"/>
      <c r="H29" s="32" t="n"/>
      <c r="I29" s="32" t="n"/>
      <c r="J29" s="32" t="n"/>
      <c r="K29" s="32" t="n"/>
      <c r="L29" s="32" t="n"/>
      <c r="M29" s="32" t="n"/>
      <c r="N29" s="32" t="n"/>
      <c r="O29" s="32" t="n"/>
    </row>
    <row r="30">
      <c r="A30" s="32" t="n"/>
      <c r="B30" s="32" t="n"/>
      <c r="C30" s="32" t="n"/>
      <c r="D30" s="32" t="n"/>
      <c r="E30" s="32" t="n"/>
      <c r="F30" s="32" t="n"/>
      <c r="G30" s="32" t="n"/>
      <c r="H30" s="32" t="n"/>
      <c r="I30" s="32" t="n"/>
      <c r="J30" s="32" t="n"/>
      <c r="K30" s="32" t="n"/>
      <c r="L30" s="32" t="n"/>
      <c r="M30" s="32" t="n"/>
      <c r="N30" s="32" t="n"/>
      <c r="O30" s="32" t="n"/>
    </row>
    <row r="31">
      <c r="A31" s="32" t="n"/>
      <c r="B31" s="32" t="n"/>
      <c r="C31" s="32" t="n"/>
      <c r="D31" s="32" t="n"/>
      <c r="E31" s="32" t="n"/>
      <c r="F31" s="32" t="n"/>
      <c r="G31" s="32" t="n"/>
      <c r="H31" s="32" t="n"/>
      <c r="I31" s="32" t="n"/>
      <c r="J31" s="32" t="n"/>
      <c r="K31" s="32" t="n"/>
      <c r="L31" s="32" t="n"/>
      <c r="M31" s="32" t="n"/>
      <c r="N31" s="32" t="n"/>
      <c r="O31" s="32" t="n"/>
    </row>
    <row r="32">
      <c r="A32" s="32" t="n"/>
      <c r="B32" s="32" t="n"/>
      <c r="C32" s="32" t="n"/>
      <c r="D32" s="32" t="n"/>
      <c r="E32" s="32" t="n"/>
      <c r="F32" s="32" t="n"/>
      <c r="G32" s="32" t="n"/>
      <c r="H32" s="32" t="n"/>
      <c r="I32" s="32" t="n"/>
      <c r="J32" s="32" t="n"/>
      <c r="K32" s="32" t="n"/>
      <c r="L32" s="32" t="n"/>
      <c r="M32" s="32" t="n"/>
      <c r="N32" s="32" t="n"/>
      <c r="O32" s="32" t="n"/>
    </row>
    <row r="33">
      <c r="A33" s="32" t="n"/>
      <c r="B33" s="32" t="n"/>
      <c r="C33" s="32" t="n"/>
      <c r="D33" s="32" t="n"/>
      <c r="E33" s="32" t="n"/>
      <c r="F33" s="32" t="n"/>
      <c r="G33" s="32" t="n"/>
      <c r="H33" s="32" t="n"/>
      <c r="I33" s="32" t="n"/>
      <c r="J33" s="32" t="n"/>
      <c r="K33" s="32" t="n"/>
      <c r="L33" s="32" t="n"/>
      <c r="M33" s="32" t="n"/>
      <c r="N33" s="32" t="n"/>
      <c r="O33" s="32" t="n"/>
    </row>
    <row r="34">
      <c r="A34" s="32" t="n"/>
      <c r="B34" s="32" t="n"/>
      <c r="C34" s="32" t="n"/>
      <c r="D34" s="32" t="n"/>
      <c r="E34" s="32" t="n"/>
      <c r="F34" s="32" t="n"/>
      <c r="G34" s="32" t="n"/>
      <c r="H34" s="32" t="n"/>
      <c r="I34" s="32" t="n"/>
      <c r="J34" s="32" t="n"/>
      <c r="K34" s="32" t="n"/>
      <c r="L34" s="32" t="n"/>
      <c r="M34" s="32" t="n"/>
      <c r="N34" s="32" t="n"/>
      <c r="O34" s="32" t="n"/>
    </row>
    <row r="35">
      <c r="A35" s="32" t="n"/>
      <c r="B35" s="32" t="n"/>
      <c r="C35" s="32" t="n"/>
      <c r="D35" s="32" t="n"/>
      <c r="E35" s="32" t="n"/>
      <c r="F35" s="32" t="n"/>
      <c r="G35" s="32" t="n"/>
      <c r="H35" s="32" t="n"/>
      <c r="I35" s="32" t="n"/>
      <c r="J35" s="32" t="n"/>
      <c r="K35" s="32" t="n"/>
      <c r="L35" s="32" t="n"/>
      <c r="M35" s="32" t="n"/>
      <c r="N35" s="32" t="n"/>
      <c r="O35" s="32" t="n"/>
    </row>
    <row r="36">
      <c r="A36" s="32" t="n"/>
      <c r="B36" s="32" t="n"/>
      <c r="C36" s="32" t="n"/>
      <c r="D36" s="32" t="n"/>
      <c r="E36" s="32" t="n"/>
      <c r="F36" s="32" t="n"/>
      <c r="G36" s="32" t="n"/>
      <c r="H36" s="32" t="n"/>
      <c r="I36" s="32" t="n"/>
      <c r="J36" s="32" t="n"/>
      <c r="K36" s="32" t="n"/>
      <c r="L36" s="32" t="n"/>
      <c r="M36" s="32" t="n"/>
      <c r="N36" s="32" t="n"/>
      <c r="O36" s="32" t="n"/>
    </row>
    <row r="37">
      <c r="A37" s="32" t="n"/>
      <c r="B37" s="32" t="n"/>
      <c r="C37" s="32" t="n"/>
      <c r="D37" s="32" t="n"/>
      <c r="E37" s="32" t="n"/>
      <c r="F37" s="32" t="n"/>
      <c r="G37" s="32" t="n"/>
      <c r="H37" s="32" t="n"/>
      <c r="I37" s="32" t="n"/>
      <c r="J37" s="32" t="n"/>
      <c r="K37" s="32" t="n"/>
      <c r="L37" s="32" t="n"/>
      <c r="M37" s="32" t="n"/>
      <c r="N37" s="32" t="n"/>
      <c r="O37" s="32" t="n"/>
    </row>
    <row r="38">
      <c r="A38" s="32" t="n"/>
      <c r="B38" s="32" t="n"/>
      <c r="C38" s="32" t="n"/>
      <c r="D38" s="32" t="n"/>
      <c r="E38" s="32" t="n"/>
      <c r="F38" s="32" t="n"/>
      <c r="G38" s="32" t="n"/>
      <c r="H38" s="32" t="n"/>
      <c r="I38" s="32" t="n"/>
      <c r="J38" s="32" t="n"/>
      <c r="K38" s="32" t="n"/>
      <c r="L38" s="32" t="n"/>
      <c r="M38" s="32" t="n"/>
      <c r="N38" s="32" t="n"/>
      <c r="O38" s="32" t="n"/>
    </row>
    <row r="39">
      <c r="A39" s="32" t="n"/>
      <c r="B39" s="32" t="n"/>
      <c r="C39" s="32" t="n"/>
      <c r="D39" s="32" t="n"/>
      <c r="E39" s="32" t="n"/>
      <c r="F39" s="32" t="n"/>
      <c r="G39" s="32" t="n"/>
      <c r="H39" s="32" t="n"/>
      <c r="I39" s="32" t="n"/>
      <c r="J39" s="32" t="n"/>
      <c r="K39" s="32" t="n"/>
      <c r="L39" s="32" t="n"/>
      <c r="M39" s="32" t="n"/>
      <c r="N39" s="32" t="n"/>
      <c r="O39" s="32" t="n"/>
    </row>
    <row r="40">
      <c r="A40" s="32" t="n"/>
      <c r="B40" s="32" t="n"/>
      <c r="C40" s="32" t="n"/>
      <c r="D40" s="32" t="n"/>
      <c r="E40" s="32" t="n"/>
      <c r="F40" s="32" t="n"/>
      <c r="G40" s="32" t="n"/>
      <c r="H40" s="32" t="n"/>
      <c r="I40" s="32" t="n"/>
      <c r="J40" s="32" t="n"/>
      <c r="K40" s="32" t="n"/>
      <c r="L40" s="32" t="n"/>
      <c r="M40" s="32" t="n"/>
      <c r="N40" s="32" t="n"/>
      <c r="O40" s="32" t="n"/>
    </row>
    <row r="41">
      <c r="A41" s="32" t="n"/>
      <c r="B41" s="32" t="n"/>
      <c r="C41" s="32" t="n"/>
      <c r="D41" s="32" t="n"/>
      <c r="E41" s="32" t="n"/>
      <c r="F41" s="32" t="n"/>
      <c r="G41" s="32" t="n"/>
      <c r="H41" s="32" t="n"/>
      <c r="I41" s="32" t="n"/>
      <c r="J41" s="32" t="n"/>
      <c r="K41" s="32" t="n"/>
      <c r="L41" s="32" t="n"/>
      <c r="M41" s="32" t="n"/>
      <c r="N41" s="32" t="n"/>
      <c r="O41" s="32" t="n"/>
    </row>
    <row r="42">
      <c r="A42" s="32" t="n"/>
      <c r="B42" s="32" t="n"/>
      <c r="C42" s="32" t="n"/>
      <c r="D42" s="32" t="n"/>
      <c r="E42" s="32" t="n"/>
      <c r="F42" s="32" t="n"/>
      <c r="G42" s="32" t="n"/>
      <c r="H42" s="32" t="n"/>
      <c r="I42" s="32" t="n"/>
      <c r="J42" s="32" t="n"/>
      <c r="K42" s="32" t="n"/>
      <c r="L42" s="32" t="n"/>
      <c r="M42" s="32" t="n"/>
      <c r="N42" s="32" t="n"/>
      <c r="O42" s="32" t="n"/>
    </row>
    <row r="43">
      <c r="A43" s="32" t="n"/>
      <c r="B43" s="32" t="n"/>
      <c r="C43" s="32" t="n"/>
      <c r="D43" s="32" t="n"/>
      <c r="E43" s="32" t="n"/>
      <c r="F43" s="32" t="n"/>
      <c r="G43" s="32" t="n"/>
      <c r="H43" s="32" t="n"/>
      <c r="I43" s="32" t="n"/>
      <c r="J43" s="32" t="n"/>
      <c r="K43" s="32" t="n"/>
      <c r="L43" s="32" t="n"/>
      <c r="M43" s="32" t="n"/>
      <c r="N43" s="32" t="n"/>
      <c r="O43" s="32" t="n"/>
    </row>
    <row r="44">
      <c r="A44" s="32" t="n"/>
      <c r="B44" s="32" t="n"/>
      <c r="C44" s="32" t="n"/>
      <c r="D44" s="32" t="n"/>
      <c r="E44" s="32" t="n"/>
      <c r="F44" s="32" t="n"/>
      <c r="G44" s="32" t="n"/>
      <c r="H44" s="32" t="n"/>
      <c r="I44" s="32" t="n"/>
      <c r="J44" s="32" t="n"/>
      <c r="K44" s="32" t="n"/>
      <c r="L44" s="32" t="n"/>
      <c r="M44" s="32" t="n"/>
      <c r="N44" s="32" t="n"/>
      <c r="O44" s="32" t="n"/>
    </row>
    <row r="45">
      <c r="A45" s="32" t="n"/>
      <c r="B45" s="32" t="n"/>
      <c r="C45" s="32" t="n"/>
      <c r="D45" s="32" t="n"/>
      <c r="E45" s="32" t="n"/>
      <c r="F45" s="32" t="n"/>
      <c r="G45" s="32" t="n"/>
      <c r="H45" s="32" t="n"/>
      <c r="I45" s="32" t="n"/>
      <c r="J45" s="32" t="n"/>
      <c r="K45" s="32" t="n"/>
      <c r="L45" s="32" t="n"/>
      <c r="M45" s="32" t="n"/>
      <c r="N45" s="32" t="n"/>
      <c r="O45" s="32" t="n"/>
    </row>
    <row r="46">
      <c r="A46" s="32" t="n"/>
      <c r="B46" s="32" t="n"/>
      <c r="C46" s="32" t="n"/>
      <c r="D46" s="32" t="n"/>
      <c r="E46" s="32" t="n"/>
      <c r="F46" s="32" t="n"/>
      <c r="G46" s="32" t="n"/>
      <c r="H46" s="32" t="n"/>
      <c r="I46" s="32" t="n"/>
      <c r="J46" s="32" t="n"/>
      <c r="K46" s="32" t="n"/>
      <c r="L46" s="32" t="n"/>
      <c r="M46" s="32" t="n"/>
      <c r="N46" s="32" t="n"/>
      <c r="O46" s="32" t="n"/>
    </row>
    <row r="47">
      <c r="A47" s="32" t="n"/>
      <c r="B47" s="32" t="n"/>
      <c r="C47" s="32" t="n"/>
      <c r="D47" s="32" t="n"/>
      <c r="E47" s="32" t="n"/>
      <c r="F47" s="32" t="n"/>
      <c r="G47" s="32" t="n"/>
      <c r="H47" s="32" t="n"/>
      <c r="I47" s="32" t="n"/>
      <c r="J47" s="32" t="n"/>
      <c r="K47" s="32" t="n"/>
      <c r="L47" s="32" t="n"/>
      <c r="M47" s="32" t="n"/>
      <c r="N47" s="32" t="n"/>
      <c r="O47" s="32" t="n"/>
    </row>
    <row r="48">
      <c r="A48" s="32" t="n"/>
      <c r="B48" s="32" t="n"/>
      <c r="C48" s="32" t="n"/>
      <c r="D48" s="32" t="n"/>
      <c r="E48" s="32" t="n"/>
      <c r="F48" s="32" t="n"/>
      <c r="G48" s="32" t="n"/>
      <c r="H48" s="32" t="n"/>
      <c r="I48" s="32" t="n"/>
      <c r="J48" s="32" t="n"/>
      <c r="K48" s="32" t="n"/>
      <c r="L48" s="32" t="n"/>
      <c r="M48" s="32" t="n"/>
      <c r="N48" s="32" t="n"/>
      <c r="O48" s="32" t="n"/>
    </row>
    <row r="49">
      <c r="A49" s="32" t="n"/>
      <c r="B49" s="32" t="n"/>
      <c r="C49" s="32" t="n"/>
      <c r="D49" s="32" t="n"/>
      <c r="E49" s="32" t="n"/>
      <c r="F49" s="32" t="n"/>
      <c r="G49" s="32" t="n"/>
      <c r="H49" s="32" t="n"/>
      <c r="I49" s="32" t="n"/>
      <c r="J49" s="32" t="n"/>
      <c r="K49" s="32" t="n"/>
      <c r="L49" s="32" t="n"/>
      <c r="M49" s="32" t="n"/>
      <c r="N49" s="32" t="n"/>
      <c r="O49" s="32" t="n"/>
    </row>
    <row r="50">
      <c r="A50" s="32" t="n"/>
      <c r="B50" s="32" t="n"/>
      <c r="C50" s="32" t="n"/>
      <c r="D50" s="32" t="n"/>
      <c r="E50" s="32" t="n"/>
      <c r="F50" s="32" t="n"/>
      <c r="G50" s="32" t="n"/>
      <c r="H50" s="32" t="n"/>
      <c r="I50" s="32" t="n"/>
      <c r="J50" s="32" t="n"/>
      <c r="K50" s="32" t="n"/>
      <c r="L50" s="32" t="n"/>
      <c r="M50" s="32" t="n"/>
      <c r="N50" s="32" t="n"/>
      <c r="O50" s="32" t="n"/>
    </row>
    <row r="51">
      <c r="A51" s="32" t="n"/>
      <c r="B51" s="32" t="n"/>
      <c r="C51" s="32" t="n"/>
      <c r="D51" s="32" t="n"/>
      <c r="E51" s="32" t="n"/>
      <c r="F51" s="32" t="n"/>
      <c r="G51" s="32" t="n"/>
      <c r="H51" s="32" t="n"/>
      <c r="I51" s="32" t="n"/>
      <c r="J51" s="32" t="n"/>
      <c r="K51" s="32" t="n"/>
      <c r="L51" s="32" t="n"/>
      <c r="M51" s="32" t="n"/>
      <c r="N51" s="32" t="n"/>
      <c r="O51" s="32" t="n"/>
    </row>
    <row r="52">
      <c r="A52" s="32" t="n"/>
      <c r="B52" s="32" t="n"/>
      <c r="C52" s="32" t="n"/>
      <c r="D52" s="32" t="n"/>
      <c r="E52" s="32" t="n"/>
      <c r="F52" s="32" t="n"/>
      <c r="G52" s="32" t="n"/>
      <c r="H52" s="32" t="n"/>
      <c r="I52" s="32" t="n"/>
      <c r="J52" s="32" t="n"/>
      <c r="K52" s="32" t="n"/>
      <c r="L52" s="32" t="n"/>
      <c r="M52" s="32" t="n"/>
      <c r="N52" s="32" t="n"/>
      <c r="O52" s="32" t="n"/>
    </row>
    <row r="53">
      <c r="A53" s="32" t="n"/>
      <c r="B53" s="32" t="n"/>
      <c r="C53" s="32" t="n"/>
      <c r="D53" s="32" t="n"/>
      <c r="E53" s="32" t="n"/>
      <c r="F53" s="32" t="n"/>
      <c r="G53" s="32" t="n"/>
      <c r="H53" s="32" t="n"/>
      <c r="I53" s="32" t="n"/>
      <c r="J53" s="32" t="n"/>
      <c r="K53" s="32" t="n"/>
      <c r="L53" s="32" t="n"/>
      <c r="M53" s="32" t="n"/>
      <c r="N53" s="32" t="n"/>
      <c r="O53" s="32" t="n"/>
    </row>
    <row r="54">
      <c r="A54" s="32" t="n"/>
      <c r="B54" s="32" t="n"/>
      <c r="C54" s="32" t="n"/>
      <c r="D54" s="32" t="n"/>
      <c r="E54" s="32" t="n"/>
      <c r="F54" s="32" t="n"/>
      <c r="G54" s="32" t="n"/>
      <c r="H54" s="32" t="n"/>
      <c r="I54" s="32" t="n"/>
      <c r="J54" s="32" t="n"/>
      <c r="K54" s="32" t="n"/>
      <c r="L54" s="32" t="n"/>
      <c r="M54" s="32" t="n"/>
      <c r="N54" s="32" t="n"/>
      <c r="O54" s="32" t="n"/>
    </row>
    <row r="55">
      <c r="A55" s="32" t="n"/>
      <c r="B55" s="32" t="n"/>
      <c r="C55" s="32" t="n"/>
      <c r="D55" s="32" t="n"/>
      <c r="E55" s="32" t="n"/>
      <c r="F55" s="32" t="n"/>
      <c r="G55" s="32" t="n"/>
      <c r="H55" s="32" t="n"/>
      <c r="I55" s="32" t="n"/>
      <c r="J55" s="32" t="n"/>
      <c r="K55" s="32" t="n"/>
      <c r="L55" s="32" t="n"/>
      <c r="M55" s="32" t="n"/>
      <c r="N55" s="32" t="n"/>
      <c r="O55" s="32" t="n"/>
    </row>
    <row r="56">
      <c r="A56" s="32" t="n"/>
      <c r="B56" s="32" t="n"/>
      <c r="C56" s="32" t="n"/>
      <c r="D56" s="32" t="n"/>
      <c r="E56" s="32" t="n"/>
      <c r="F56" s="32" t="n"/>
      <c r="G56" s="32" t="n"/>
      <c r="H56" s="32" t="n"/>
      <c r="I56" s="32" t="n"/>
      <c r="J56" s="32" t="n"/>
      <c r="K56" s="32" t="n"/>
      <c r="L56" s="32" t="n"/>
      <c r="M56" s="32" t="n"/>
      <c r="N56" s="32" t="n"/>
      <c r="O56" s="32" t="n"/>
    </row>
    <row r="57">
      <c r="A57" s="32" t="n"/>
      <c r="B57" s="32" t="n"/>
      <c r="C57" s="32" t="n"/>
      <c r="D57" s="32" t="n"/>
      <c r="E57" s="32" t="n"/>
      <c r="F57" s="32" t="n"/>
      <c r="G57" s="32" t="n"/>
      <c r="H57" s="32" t="n"/>
      <c r="I57" s="32" t="n"/>
      <c r="J57" s="32" t="n"/>
      <c r="K57" s="32" t="n"/>
      <c r="L57" s="32" t="n"/>
      <c r="M57" s="32" t="n"/>
      <c r="N57" s="32" t="n"/>
      <c r="O57" s="32" t="n"/>
    </row>
    <row r="58">
      <c r="A58" s="32" t="n"/>
      <c r="B58" s="32" t="n"/>
      <c r="C58" s="32" t="n"/>
      <c r="D58" s="32" t="n"/>
      <c r="E58" s="32" t="n"/>
      <c r="F58" s="32" t="n"/>
      <c r="G58" s="32" t="n"/>
      <c r="H58" s="32" t="n"/>
      <c r="I58" s="32" t="n"/>
      <c r="J58" s="32" t="n"/>
      <c r="K58" s="32" t="n"/>
      <c r="L58" s="32" t="n"/>
      <c r="M58" s="32" t="n"/>
      <c r="N58" s="32" t="n"/>
      <c r="O58" s="32" t="n"/>
    </row>
    <row r="59">
      <c r="A59" s="32" t="n"/>
      <c r="B59" s="32" t="n"/>
      <c r="C59" s="32" t="n"/>
      <c r="D59" s="32" t="n"/>
      <c r="E59" s="32" t="n"/>
      <c r="F59" s="32" t="n"/>
      <c r="G59" s="32" t="n"/>
      <c r="H59" s="32" t="n"/>
      <c r="I59" s="32" t="n"/>
      <c r="J59" s="32" t="n"/>
      <c r="K59" s="32" t="n"/>
      <c r="L59" s="32" t="n"/>
      <c r="M59" s="32" t="n"/>
      <c r="N59" s="32" t="n"/>
      <c r="O59" s="32" t="n"/>
    </row>
    <row r="60">
      <c r="A60" s="32" t="n"/>
      <c r="B60" s="32" t="n"/>
      <c r="C60" s="32" t="n"/>
      <c r="D60" s="32" t="n"/>
      <c r="E60" s="32" t="n"/>
      <c r="F60" s="32" t="n"/>
      <c r="G60" s="32" t="n"/>
      <c r="H60" s="32" t="n"/>
      <c r="I60" s="32" t="n"/>
      <c r="J60" s="32" t="n"/>
      <c r="K60" s="32" t="n"/>
      <c r="L60" s="32" t="n"/>
      <c r="M60" s="32" t="n"/>
      <c r="N60" s="32" t="n"/>
      <c r="O60" s="32" t="n"/>
    </row>
    <row r="61">
      <c r="A61" s="32" t="n"/>
      <c r="B61" s="32" t="n"/>
      <c r="C61" s="32" t="n"/>
      <c r="D61" s="32" t="n"/>
      <c r="E61" s="32" t="n"/>
      <c r="F61" s="32" t="n"/>
      <c r="G61" s="32" t="n"/>
      <c r="H61" s="32" t="n"/>
      <c r="I61" s="32" t="n"/>
      <c r="J61" s="32" t="n"/>
      <c r="K61" s="32" t="n"/>
      <c r="L61" s="32" t="n"/>
      <c r="M61" s="32" t="n"/>
      <c r="N61" s="32" t="n"/>
      <c r="O61" s="32" t="n"/>
    </row>
    <row r="62">
      <c r="A62" s="32" t="n"/>
      <c r="B62" s="32" t="n"/>
      <c r="C62" s="32" t="n"/>
      <c r="D62" s="32" t="n"/>
      <c r="E62" s="32" t="n"/>
      <c r="F62" s="32" t="n"/>
      <c r="G62" s="32" t="n"/>
      <c r="H62" s="32" t="n"/>
      <c r="I62" s="32" t="n"/>
      <c r="J62" s="32" t="n"/>
      <c r="K62" s="32" t="n"/>
      <c r="L62" s="32" t="n"/>
      <c r="M62" s="32" t="n"/>
      <c r="N62" s="32" t="n"/>
      <c r="O62" s="32" t="n"/>
    </row>
    <row r="63">
      <c r="A63" s="32" t="n"/>
      <c r="B63" s="32" t="n"/>
      <c r="C63" s="32" t="n"/>
      <c r="D63" s="32" t="n"/>
      <c r="E63" s="32" t="n"/>
      <c r="F63" s="32" t="n"/>
      <c r="G63" s="32" t="n"/>
      <c r="H63" s="32" t="n"/>
      <c r="I63" s="32" t="n"/>
      <c r="J63" s="32" t="n"/>
      <c r="K63" s="32" t="n"/>
      <c r="L63" s="32" t="n"/>
      <c r="M63" s="32" t="n"/>
      <c r="N63" s="32" t="n"/>
      <c r="O63" s="32" t="n"/>
    </row>
    <row r="64">
      <c r="A64" s="32" t="n"/>
      <c r="B64" s="32" t="n"/>
      <c r="C64" s="32" t="n"/>
      <c r="D64" s="32" t="n"/>
      <c r="E64" s="32" t="n"/>
      <c r="F64" s="32" t="n"/>
      <c r="G64" s="32" t="n"/>
      <c r="H64" s="32" t="n"/>
      <c r="I64" s="32" t="n"/>
      <c r="J64" s="32" t="n"/>
      <c r="K64" s="32" t="n"/>
      <c r="L64" s="32" t="n"/>
      <c r="M64" s="32" t="n"/>
      <c r="N64" s="32" t="n"/>
      <c r="O64" s="32" t="n"/>
    </row>
    <row r="65">
      <c r="A65" s="32" t="n"/>
      <c r="B65" s="32" t="n"/>
      <c r="C65" s="32" t="n"/>
      <c r="D65" s="32" t="n"/>
      <c r="E65" s="32" t="n"/>
      <c r="F65" s="32" t="n"/>
      <c r="G65" s="32" t="n"/>
      <c r="H65" s="32" t="n"/>
      <c r="I65" s="32" t="n"/>
      <c r="J65" s="32" t="n"/>
      <c r="K65" s="32" t="n"/>
      <c r="L65" s="32" t="n"/>
      <c r="M65" s="32" t="n"/>
      <c r="N65" s="32" t="n"/>
      <c r="O65" s="32" t="n"/>
    </row>
    <row r="66">
      <c r="A66" s="32" t="n"/>
      <c r="B66" s="32" t="n"/>
      <c r="C66" s="32" t="n"/>
      <c r="D66" s="32" t="n"/>
      <c r="E66" s="32" t="n"/>
      <c r="F66" s="32" t="n"/>
      <c r="G66" s="32" t="n"/>
      <c r="H66" s="32" t="n"/>
      <c r="I66" s="32" t="n"/>
      <c r="J66" s="32" t="n"/>
      <c r="K66" s="32" t="n"/>
      <c r="L66" s="32" t="n"/>
      <c r="M66" s="32" t="n"/>
      <c r="N66" s="32" t="n"/>
      <c r="O66" s="32" t="n"/>
    </row>
    <row r="67">
      <c r="A67" s="32" t="n"/>
      <c r="B67" s="32" t="n"/>
      <c r="C67" s="32" t="n"/>
      <c r="D67" s="32" t="n"/>
      <c r="E67" s="32" t="n"/>
      <c r="F67" s="32" t="n"/>
      <c r="G67" s="32" t="n"/>
      <c r="H67" s="32" t="n"/>
      <c r="I67" s="32" t="n"/>
      <c r="J67" s="32" t="n"/>
      <c r="K67" s="32" t="n"/>
      <c r="L67" s="32" t="n"/>
      <c r="M67" s="32" t="n"/>
      <c r="N67" s="32" t="n"/>
      <c r="O67" s="32" t="n"/>
    </row>
    <row r="68">
      <c r="A68" s="32" t="n"/>
      <c r="B68" s="32" t="n"/>
      <c r="C68" s="32" t="n"/>
      <c r="D68" s="32" t="n"/>
      <c r="E68" s="32" t="n"/>
      <c r="F68" s="32" t="n"/>
      <c r="G68" s="32" t="n"/>
      <c r="H68" s="32" t="n"/>
      <c r="I68" s="32" t="n"/>
      <c r="J68" s="32" t="n"/>
      <c r="K68" s="32" t="n"/>
      <c r="L68" s="32" t="n"/>
      <c r="M68" s="32" t="n"/>
      <c r="N68" s="32" t="n"/>
      <c r="O68" s="32" t="n"/>
    </row>
    <row r="69">
      <c r="A69" s="32" t="n"/>
      <c r="B69" s="32" t="n"/>
      <c r="C69" s="32" t="n"/>
      <c r="D69" s="32" t="n"/>
      <c r="E69" s="32" t="n"/>
      <c r="F69" s="32" t="n"/>
      <c r="G69" s="32" t="n"/>
      <c r="H69" s="32" t="n"/>
      <c r="I69" s="32" t="n"/>
      <c r="J69" s="32" t="n"/>
      <c r="K69" s="32" t="n"/>
      <c r="L69" s="32" t="n"/>
      <c r="M69" s="32" t="n"/>
      <c r="N69" s="32" t="n"/>
      <c r="O69" s="32" t="n"/>
    </row>
    <row r="70">
      <c r="A70" s="32" t="n"/>
      <c r="B70" s="32" t="n"/>
      <c r="C70" s="32" t="n"/>
      <c r="D70" s="32" t="n"/>
      <c r="E70" s="32" t="n"/>
      <c r="F70" s="32" t="n"/>
      <c r="G70" s="32" t="n"/>
      <c r="H70" s="32" t="n"/>
      <c r="I70" s="32" t="n"/>
      <c r="J70" s="32" t="n"/>
      <c r="K70" s="32" t="n"/>
      <c r="L70" s="32" t="n"/>
      <c r="M70" s="32" t="n"/>
      <c r="N70" s="32" t="n"/>
      <c r="O70" s="32" t="n"/>
    </row>
    <row r="71">
      <c r="A71" s="32" t="n"/>
      <c r="B71" s="32" t="n"/>
      <c r="C71" s="32" t="n"/>
      <c r="D71" s="32" t="n"/>
      <c r="E71" s="32" t="n"/>
      <c r="F71" s="32" t="n"/>
      <c r="G71" s="32" t="n"/>
      <c r="H71" s="32" t="n"/>
      <c r="I71" s="32" t="n"/>
      <c r="J71" s="32" t="n"/>
      <c r="K71" s="32" t="n"/>
      <c r="L71" s="32" t="n"/>
      <c r="M71" s="32" t="n"/>
      <c r="N71" s="32" t="n"/>
      <c r="O71" s="32" t="n"/>
    </row>
    <row r="72">
      <c r="A72" s="32" t="n"/>
      <c r="B72" s="32" t="n"/>
      <c r="C72" s="32" t="n"/>
      <c r="D72" s="32" t="n"/>
      <c r="E72" s="32" t="n"/>
      <c r="F72" s="32" t="n"/>
      <c r="G72" s="32" t="n"/>
      <c r="H72" s="32" t="n"/>
      <c r="I72" s="32" t="n"/>
      <c r="J72" s="32" t="n"/>
      <c r="K72" s="32" t="n"/>
      <c r="L72" s="32" t="n"/>
      <c r="M72" s="32" t="n"/>
      <c r="N72" s="32" t="n"/>
      <c r="O72" s="32" t="n"/>
    </row>
    <row r="73">
      <c r="A73" s="32" t="n"/>
      <c r="B73" s="32" t="n"/>
      <c r="C73" s="32" t="n"/>
      <c r="D73" s="32" t="n"/>
      <c r="E73" s="32" t="n"/>
      <c r="F73" s="32" t="n"/>
      <c r="G73" s="32" t="n"/>
      <c r="H73" s="32" t="n"/>
      <c r="I73" s="32" t="n"/>
      <c r="J73" s="32" t="n"/>
      <c r="K73" s="32" t="n"/>
      <c r="L73" s="32" t="n"/>
      <c r="M73" s="32" t="n"/>
      <c r="N73" s="32" t="n"/>
      <c r="O73" s="32" t="n"/>
    </row>
    <row r="74">
      <c r="A74" s="32" t="n"/>
      <c r="B74" s="32" t="n"/>
      <c r="C74" s="32" t="n"/>
      <c r="D74" s="32" t="n"/>
      <c r="E74" s="32" t="n"/>
      <c r="F74" s="32" t="n"/>
      <c r="G74" s="32" t="n"/>
      <c r="H74" s="32" t="n"/>
      <c r="I74" s="32" t="n"/>
      <c r="J74" s="32" t="n"/>
      <c r="K74" s="32" t="n"/>
      <c r="L74" s="32" t="n"/>
      <c r="M74" s="32" t="n"/>
      <c r="N74" s="32" t="n"/>
      <c r="O74" s="32" t="n"/>
    </row>
    <row r="75">
      <c r="A75" s="32" t="n"/>
      <c r="B75" s="32" t="n"/>
      <c r="C75" s="32" t="n"/>
      <c r="D75" s="32" t="n"/>
      <c r="E75" s="32" t="n"/>
      <c r="F75" s="32" t="n"/>
      <c r="G75" s="32" t="n"/>
      <c r="H75" s="32" t="n"/>
      <c r="I75" s="32" t="n"/>
      <c r="J75" s="32" t="n"/>
      <c r="K75" s="32" t="n"/>
      <c r="L75" s="32" t="n"/>
      <c r="M75" s="32" t="n"/>
      <c r="N75" s="32" t="n"/>
      <c r="O75" s="32" t="n"/>
    </row>
    <row r="76">
      <c r="A76" s="32" t="n"/>
      <c r="B76" s="32" t="n"/>
      <c r="C76" s="32" t="n"/>
      <c r="D76" s="32" t="n"/>
      <c r="E76" s="32" t="n"/>
      <c r="F76" s="32" t="n"/>
      <c r="G76" s="32" t="n"/>
      <c r="H76" s="32" t="n"/>
      <c r="I76" s="32" t="n"/>
      <c r="J76" s="32" t="n"/>
      <c r="K76" s="32" t="n"/>
      <c r="L76" s="32" t="n"/>
      <c r="M76" s="32" t="n"/>
      <c r="N76" s="32" t="n"/>
      <c r="O76" s="32" t="n"/>
    </row>
    <row r="77">
      <c r="A77" s="32" t="n"/>
      <c r="B77" s="32" t="n"/>
      <c r="C77" s="32" t="n"/>
      <c r="D77" s="32" t="n"/>
      <c r="E77" s="32" t="n"/>
      <c r="F77" s="32" t="n"/>
      <c r="G77" s="32" t="n"/>
      <c r="H77" s="32" t="n"/>
      <c r="I77" s="32" t="n"/>
      <c r="J77" s="32" t="n"/>
      <c r="K77" s="32" t="n"/>
      <c r="L77" s="32" t="n"/>
      <c r="M77" s="32" t="n"/>
      <c r="N77" s="32" t="n"/>
      <c r="O77" s="32" t="n"/>
    </row>
    <row r="78">
      <c r="A78" s="32" t="n"/>
      <c r="B78" s="32" t="n"/>
      <c r="C78" s="32" t="n"/>
      <c r="D78" s="32" t="n"/>
      <c r="E78" s="32" t="n"/>
      <c r="F78" s="32" t="n"/>
      <c r="G78" s="32" t="n"/>
      <c r="H78" s="32" t="n"/>
      <c r="I78" s="32" t="n"/>
      <c r="J78" s="32" t="n"/>
      <c r="K78" s="32" t="n"/>
      <c r="L78" s="32" t="n"/>
      <c r="M78" s="32" t="n"/>
      <c r="N78" s="32" t="n"/>
      <c r="O78" s="32" t="n"/>
    </row>
    <row r="79">
      <c r="A79" s="32" t="n"/>
      <c r="B79" s="32" t="n"/>
      <c r="C79" s="32" t="n"/>
      <c r="D79" s="32" t="n"/>
      <c r="E79" s="32" t="n"/>
      <c r="F79" s="32" t="n"/>
      <c r="G79" s="32" t="n"/>
      <c r="H79" s="32" t="n"/>
      <c r="I79" s="32" t="n"/>
      <c r="J79" s="32" t="n"/>
      <c r="K79" s="32" t="n"/>
      <c r="L79" s="32" t="n"/>
      <c r="M79" s="32" t="n"/>
      <c r="N79" s="32" t="n"/>
      <c r="O79" s="32" t="n"/>
    </row>
    <row r="80">
      <c r="A80" s="32" t="n"/>
      <c r="B80" s="32" t="n"/>
      <c r="C80" s="32" t="n"/>
      <c r="D80" s="32" t="n"/>
      <c r="E80" s="32" t="n"/>
      <c r="F80" s="32" t="n"/>
      <c r="G80" s="32" t="n"/>
      <c r="H80" s="32" t="n"/>
      <c r="I80" s="32" t="n"/>
      <c r="J80" s="32" t="n"/>
      <c r="K80" s="32" t="n"/>
      <c r="L80" s="32" t="n"/>
      <c r="M80" s="32" t="n"/>
      <c r="N80" s="32" t="n"/>
      <c r="O80" s="32" t="n"/>
    </row>
    <row r="81">
      <c r="A81" s="32" t="n"/>
      <c r="B81" s="32" t="n"/>
      <c r="C81" s="32" t="n"/>
      <c r="D81" s="32" t="n"/>
      <c r="E81" s="32" t="n"/>
      <c r="F81" s="32" t="n"/>
      <c r="G81" s="32" t="n"/>
      <c r="H81" s="32" t="n"/>
      <c r="I81" s="32" t="n"/>
      <c r="J81" s="32" t="n"/>
      <c r="K81" s="32" t="n"/>
      <c r="L81" s="32" t="n"/>
      <c r="M81" s="32" t="n"/>
      <c r="N81" s="32" t="n"/>
      <c r="O81" s="32" t="n"/>
    </row>
    <row r="82">
      <c r="A82" s="32" t="n"/>
      <c r="B82" s="32" t="n"/>
      <c r="C82" s="32" t="n"/>
      <c r="D82" s="32" t="n"/>
      <c r="E82" s="32" t="n"/>
      <c r="F82" s="32" t="n"/>
      <c r="G82" s="32" t="n"/>
      <c r="H82" s="32" t="n"/>
      <c r="I82" s="32" t="n"/>
      <c r="J82" s="32" t="n"/>
      <c r="K82" s="32" t="n"/>
      <c r="L82" s="32" t="n"/>
      <c r="M82" s="32" t="n"/>
      <c r="N82" s="32" t="n"/>
      <c r="O82" s="32" t="n"/>
    </row>
    <row r="83">
      <c r="A83" s="32" t="n"/>
      <c r="B83" s="32" t="n"/>
      <c r="C83" s="32" t="n"/>
      <c r="D83" s="32" t="n"/>
      <c r="E83" s="32" t="n"/>
      <c r="F83" s="32" t="n"/>
      <c r="G83" s="32" t="n"/>
      <c r="H83" s="32" t="n"/>
      <c r="I83" s="32" t="n"/>
      <c r="J83" s="32" t="n"/>
      <c r="K83" s="32" t="n"/>
      <c r="L83" s="32" t="n"/>
      <c r="M83" s="32" t="n"/>
      <c r="N83" s="32" t="n"/>
      <c r="O83" s="32" t="n"/>
    </row>
    <row r="84">
      <c r="A84" s="32" t="n"/>
      <c r="B84" s="32" t="n"/>
      <c r="C84" s="32" t="n"/>
      <c r="D84" s="32" t="n"/>
      <c r="E84" s="32" t="n"/>
      <c r="F84" s="32" t="n"/>
      <c r="G84" s="32" t="n"/>
      <c r="H84" s="32" t="n"/>
      <c r="I84" s="32" t="n"/>
      <c r="J84" s="32" t="n"/>
      <c r="K84" s="32" t="n"/>
      <c r="L84" s="32" t="n"/>
      <c r="M84" s="32" t="n"/>
      <c r="N84" s="32" t="n"/>
      <c r="O84" s="32" t="n"/>
    </row>
    <row r="85">
      <c r="A85" s="32" t="n"/>
      <c r="B85" s="32" t="n"/>
      <c r="C85" s="32" t="n"/>
      <c r="D85" s="32" t="n"/>
      <c r="E85" s="32" t="n"/>
      <c r="F85" s="32" t="n"/>
      <c r="G85" s="32" t="n"/>
      <c r="H85" s="32" t="n"/>
      <c r="I85" s="32" t="n"/>
      <c r="J85" s="32" t="n"/>
      <c r="K85" s="32" t="n"/>
      <c r="L85" s="32" t="n"/>
      <c r="M85" s="32" t="n"/>
      <c r="N85" s="32" t="n"/>
      <c r="O85" s="32" t="n"/>
    </row>
    <row r="86">
      <c r="A86" s="32" t="n"/>
      <c r="B86" s="32" t="n"/>
      <c r="C86" s="32" t="n"/>
      <c r="D86" s="32" t="n"/>
      <c r="E86" s="32" t="n"/>
      <c r="F86" s="32" t="n"/>
      <c r="G86" s="32" t="n"/>
      <c r="H86" s="32" t="n"/>
      <c r="I86" s="32" t="n"/>
      <c r="J86" s="32" t="n"/>
      <c r="K86" s="32" t="n"/>
      <c r="L86" s="32" t="n"/>
      <c r="M86" s="32" t="n"/>
      <c r="N86" s="32" t="n"/>
      <c r="O86" s="32" t="n"/>
    </row>
    <row r="87">
      <c r="A87" s="32" t="n"/>
      <c r="B87" s="32" t="n"/>
      <c r="C87" s="32" t="n"/>
      <c r="D87" s="32" t="n"/>
      <c r="E87" s="32" t="n"/>
      <c r="F87" s="32" t="n"/>
      <c r="G87" s="32" t="n"/>
      <c r="H87" s="32" t="n"/>
      <c r="I87" s="32" t="n"/>
      <c r="J87" s="32" t="n"/>
      <c r="K87" s="32" t="n"/>
      <c r="L87" s="32" t="n"/>
      <c r="M87" s="32" t="n"/>
      <c r="N87" s="32" t="n"/>
      <c r="O87" s="32" t="n"/>
    </row>
    <row r="88">
      <c r="A88" s="32" t="n"/>
      <c r="B88" s="32" t="n"/>
      <c r="C88" s="32" t="n"/>
      <c r="D88" s="32" t="n"/>
      <c r="E88" s="32" t="n"/>
      <c r="F88" s="32" t="n"/>
      <c r="G88" s="32" t="n"/>
      <c r="H88" s="32" t="n"/>
      <c r="I88" s="32" t="n"/>
      <c r="J88" s="32" t="n"/>
      <c r="K88" s="32" t="n"/>
      <c r="L88" s="32" t="n"/>
      <c r="M88" s="32" t="n"/>
      <c r="N88" s="32" t="n"/>
      <c r="O88" s="32" t="n"/>
    </row>
    <row r="89">
      <c r="A89" s="32" t="n"/>
      <c r="B89" s="32" t="n"/>
      <c r="C89" s="32" t="n"/>
      <c r="D89" s="32" t="n"/>
      <c r="E89" s="32" t="n"/>
      <c r="F89" s="32" t="n"/>
      <c r="G89" s="32" t="n"/>
      <c r="H89" s="32" t="n"/>
      <c r="I89" s="32" t="n"/>
      <c r="J89" s="32" t="n"/>
      <c r="K89" s="32" t="n"/>
      <c r="L89" s="32" t="n"/>
      <c r="M89" s="32" t="n"/>
      <c r="N89" s="32" t="n"/>
      <c r="O89" s="32" t="n"/>
    </row>
    <row r="90">
      <c r="A90" s="32" t="n"/>
      <c r="B90" s="32" t="n"/>
      <c r="C90" s="32" t="n"/>
      <c r="D90" s="32" t="n"/>
      <c r="E90" s="32" t="n"/>
      <c r="F90" s="32" t="n"/>
      <c r="G90" s="32" t="n"/>
      <c r="H90" s="32" t="n"/>
      <c r="I90" s="32" t="n"/>
      <c r="J90" s="32" t="n"/>
      <c r="K90" s="32" t="n"/>
      <c r="L90" s="32" t="n"/>
      <c r="M90" s="32" t="n"/>
      <c r="N90" s="32" t="n"/>
      <c r="O90" s="32" t="n"/>
    </row>
    <row r="91">
      <c r="A91" s="32" t="n"/>
      <c r="B91" s="32" t="n"/>
      <c r="C91" s="32" t="n"/>
      <c r="D91" s="32" t="n"/>
      <c r="E91" s="32" t="n"/>
      <c r="F91" s="32" t="n"/>
      <c r="G91" s="32" t="n"/>
      <c r="H91" s="32" t="n"/>
      <c r="I91" s="32" t="n"/>
      <c r="J91" s="32" t="n"/>
      <c r="K91" s="32" t="n"/>
      <c r="L91" s="32" t="n"/>
      <c r="M91" s="32" t="n"/>
      <c r="N91" s="32" t="n"/>
      <c r="O91" s="32" t="n"/>
    </row>
    <row r="92">
      <c r="A92" s="32" t="n"/>
      <c r="B92" s="32" t="n"/>
      <c r="C92" s="32" t="n"/>
      <c r="D92" s="32" t="n"/>
      <c r="E92" s="32" t="n"/>
      <c r="F92" s="32" t="n"/>
      <c r="G92" s="32" t="n"/>
      <c r="H92" s="32" t="n"/>
      <c r="I92" s="32" t="n"/>
      <c r="J92" s="32" t="n"/>
      <c r="K92" s="32" t="n"/>
      <c r="L92" s="32" t="n"/>
      <c r="M92" s="32" t="n"/>
      <c r="N92" s="32" t="n"/>
      <c r="O92" s="32" t="n"/>
    </row>
    <row r="93">
      <c r="A93" s="32" t="n"/>
      <c r="B93" s="32" t="n"/>
      <c r="C93" s="32" t="n"/>
      <c r="D93" s="32" t="n"/>
      <c r="E93" s="32" t="n"/>
      <c r="F93" s="32" t="n"/>
      <c r="G93" s="32" t="n"/>
      <c r="H93" s="32" t="n"/>
      <c r="I93" s="32" t="n"/>
      <c r="J93" s="32" t="n"/>
      <c r="K93" s="32" t="n"/>
      <c r="L93" s="32" t="n"/>
      <c r="M93" s="32" t="n"/>
      <c r="N93" s="32" t="n"/>
      <c r="O93" s="32" t="n"/>
    </row>
    <row r="94">
      <c r="A94" s="32" t="n"/>
      <c r="B94" s="32" t="n"/>
      <c r="C94" s="32" t="n"/>
      <c r="D94" s="32" t="n"/>
      <c r="E94" s="32" t="n"/>
      <c r="F94" s="32" t="n"/>
      <c r="G94" s="32" t="n"/>
      <c r="H94" s="32" t="n"/>
      <c r="I94" s="32" t="n"/>
      <c r="J94" s="32" t="n"/>
      <c r="K94" s="32" t="n"/>
      <c r="L94" s="32" t="n"/>
      <c r="M94" s="32" t="n"/>
      <c r="N94" s="32" t="n"/>
      <c r="O94" s="32" t="n"/>
    </row>
    <row r="95">
      <c r="A95" s="32" t="n"/>
      <c r="B95" s="32" t="n"/>
      <c r="C95" s="32" t="n"/>
      <c r="D95" s="32" t="n"/>
      <c r="E95" s="32" t="n"/>
      <c r="F95" s="32" t="n"/>
      <c r="G95" s="32" t="n"/>
      <c r="H95" s="32" t="n"/>
      <c r="I95" s="32" t="n"/>
      <c r="J95" s="32" t="n"/>
      <c r="K95" s="32" t="n"/>
      <c r="L95" s="32" t="n"/>
      <c r="M95" s="32" t="n"/>
      <c r="N95" s="32" t="n"/>
      <c r="O95" s="32" t="n"/>
    </row>
    <row r="96">
      <c r="A96" s="32" t="n"/>
      <c r="B96" s="32" t="n"/>
      <c r="C96" s="32" t="n"/>
      <c r="D96" s="32" t="n"/>
      <c r="E96" s="32" t="n"/>
      <c r="F96" s="32" t="n"/>
      <c r="G96" s="32" t="n"/>
      <c r="H96" s="32" t="n"/>
      <c r="I96" s="32" t="n"/>
      <c r="J96" s="32" t="n"/>
      <c r="K96" s="32" t="n"/>
      <c r="L96" s="32" t="n"/>
      <c r="M96" s="32" t="n"/>
      <c r="N96" s="32" t="n"/>
      <c r="O96" s="32" t="n"/>
    </row>
    <row r="97">
      <c r="A97" s="32" t="n"/>
      <c r="B97" s="32" t="n"/>
      <c r="C97" s="32" t="n"/>
      <c r="D97" s="32" t="n"/>
      <c r="E97" s="32" t="n"/>
      <c r="F97" s="32" t="n"/>
      <c r="G97" s="32" t="n"/>
      <c r="H97" s="32" t="n"/>
      <c r="I97" s="32" t="n"/>
      <c r="J97" s="32" t="n"/>
      <c r="K97" s="32" t="n"/>
      <c r="L97" s="32" t="n"/>
      <c r="M97" s="32" t="n"/>
      <c r="N97" s="32" t="n"/>
      <c r="O97" s="32" t="n"/>
    </row>
    <row r="98">
      <c r="A98" s="32" t="n"/>
      <c r="B98" s="32" t="n"/>
      <c r="C98" s="32" t="n"/>
      <c r="D98" s="32" t="n"/>
      <c r="E98" s="32" t="n"/>
      <c r="F98" s="32" t="n"/>
      <c r="G98" s="32" t="n"/>
      <c r="H98" s="32" t="n"/>
      <c r="I98" s="32" t="n"/>
      <c r="J98" s="32" t="n"/>
      <c r="K98" s="32" t="n"/>
      <c r="L98" s="32" t="n"/>
      <c r="M98" s="32" t="n"/>
      <c r="N98" s="32" t="n"/>
      <c r="O98" s="32" t="n"/>
    </row>
    <row r="99">
      <c r="A99" s="32" t="n"/>
      <c r="B99" s="32" t="n"/>
      <c r="C99" s="32" t="n"/>
      <c r="D99" s="32" t="n"/>
      <c r="E99" s="32" t="n"/>
      <c r="F99" s="32" t="n"/>
      <c r="G99" s="32" t="n"/>
      <c r="H99" s="32" t="n"/>
      <c r="I99" s="32" t="n"/>
      <c r="J99" s="32" t="n"/>
      <c r="K99" s="32" t="n"/>
      <c r="L99" s="32" t="n"/>
      <c r="M99" s="32" t="n"/>
      <c r="N99" s="32" t="n"/>
      <c r="O99" s="32" t="n"/>
    </row>
    <row r="100">
      <c r="A100" s="32" t="n"/>
      <c r="B100" s="32" t="n"/>
      <c r="C100" s="32" t="n"/>
      <c r="D100" s="32" t="n"/>
      <c r="E100" s="32" t="n"/>
      <c r="F100" s="32" t="n"/>
      <c r="G100" s="32" t="n"/>
      <c r="H100" s="32" t="n"/>
      <c r="I100" s="32" t="n"/>
      <c r="J100" s="32" t="n"/>
      <c r="K100" s="32" t="n"/>
      <c r="L100" s="32" t="n"/>
      <c r="M100" s="32" t="n"/>
      <c r="N100" s="32" t="n"/>
      <c r="O100" s="32" t="n"/>
    </row>
    <row r="101">
      <c r="A101" s="32" t="n"/>
      <c r="B101" s="32" t="n"/>
      <c r="C101" s="32" t="n"/>
      <c r="D101" s="32" t="n"/>
      <c r="E101" s="32" t="n"/>
      <c r="F101" s="32" t="n"/>
      <c r="G101" s="32" t="n"/>
      <c r="H101" s="32" t="n"/>
      <c r="I101" s="32" t="n"/>
      <c r="J101" s="32" t="n"/>
      <c r="K101" s="32" t="n"/>
      <c r="L101" s="32" t="n"/>
      <c r="M101" s="32" t="n"/>
      <c r="N101" s="32" t="n"/>
      <c r="O101" s="32" t="n"/>
    </row>
    <row r="102">
      <c r="A102" s="32" t="n"/>
      <c r="B102" s="32" t="n"/>
      <c r="C102" s="32" t="n"/>
      <c r="D102" s="32" t="n"/>
      <c r="E102" s="32" t="n"/>
      <c r="F102" s="32" t="n"/>
      <c r="G102" s="32" t="n"/>
      <c r="H102" s="32" t="n"/>
      <c r="I102" s="32" t="n"/>
      <c r="J102" s="32" t="n"/>
      <c r="K102" s="32" t="n"/>
      <c r="L102" s="32" t="n"/>
      <c r="M102" s="32" t="n"/>
      <c r="N102" s="32" t="n"/>
      <c r="O102" s="32" t="n"/>
    </row>
    <row r="103">
      <c r="A103" s="32" t="n"/>
      <c r="B103" s="32" t="n"/>
      <c r="C103" s="32" t="n"/>
      <c r="D103" s="32" t="n"/>
      <c r="E103" s="32" t="n"/>
      <c r="F103" s="32" t="n"/>
      <c r="G103" s="32" t="n"/>
      <c r="H103" s="32" t="n"/>
      <c r="I103" s="32" t="n"/>
      <c r="J103" s="32" t="n"/>
      <c r="K103" s="32" t="n"/>
      <c r="L103" s="32" t="n"/>
      <c r="M103" s="32" t="n"/>
      <c r="N103" s="32" t="n"/>
      <c r="O103" s="32" t="n"/>
    </row>
    <row r="104">
      <c r="A104" s="32" t="n"/>
      <c r="B104" s="32" t="n"/>
      <c r="C104" s="32" t="n"/>
      <c r="D104" s="32" t="n"/>
      <c r="E104" s="32" t="n"/>
      <c r="F104" s="32" t="n"/>
      <c r="G104" s="32" t="n"/>
      <c r="H104" s="32" t="n"/>
      <c r="I104" s="32" t="n"/>
      <c r="J104" s="32" t="n"/>
      <c r="K104" s="32" t="n"/>
      <c r="L104" s="32" t="n"/>
      <c r="M104" s="32" t="n"/>
      <c r="N104" s="32" t="n"/>
      <c r="O104" s="32" t="n"/>
    </row>
    <row r="105">
      <c r="A105" s="32" t="n"/>
      <c r="B105" s="32" t="n"/>
      <c r="C105" s="32" t="n"/>
      <c r="D105" s="32" t="n"/>
      <c r="E105" s="32" t="n"/>
      <c r="F105" s="32" t="n"/>
      <c r="G105" s="32" t="n"/>
      <c r="H105" s="32" t="n"/>
      <c r="I105" s="32" t="n"/>
      <c r="J105" s="32" t="n"/>
      <c r="K105" s="32" t="n"/>
      <c r="L105" s="32" t="n"/>
      <c r="M105" s="32" t="n"/>
      <c r="N105" s="32" t="n"/>
      <c r="O105" s="32" t="n"/>
    </row>
    <row r="106">
      <c r="A106" s="32" t="n"/>
      <c r="B106" s="32" t="n"/>
      <c r="C106" s="32" t="n"/>
      <c r="D106" s="32" t="n"/>
      <c r="E106" s="32" t="n"/>
      <c r="F106" s="32" t="n"/>
      <c r="G106" s="32" t="n"/>
      <c r="H106" s="32" t="n"/>
      <c r="I106" s="32" t="n"/>
      <c r="J106" s="32" t="n"/>
      <c r="K106" s="32" t="n"/>
      <c r="L106" s="32" t="n"/>
      <c r="M106" s="32" t="n"/>
      <c r="N106" s="32" t="n"/>
      <c r="O106" s="32" t="n"/>
    </row>
    <row r="107">
      <c r="A107" s="32" t="n"/>
      <c r="B107" s="32" t="n"/>
      <c r="C107" s="32" t="n"/>
      <c r="D107" s="32" t="n"/>
      <c r="E107" s="32" t="n"/>
      <c r="F107" s="32" t="n"/>
      <c r="G107" s="32" t="n"/>
      <c r="H107" s="32" t="n"/>
      <c r="I107" s="32" t="n"/>
      <c r="J107" s="32" t="n"/>
      <c r="K107" s="32" t="n"/>
      <c r="L107" s="32" t="n"/>
      <c r="M107" s="32" t="n"/>
      <c r="N107" s="32" t="n"/>
      <c r="O107" s="32" t="n"/>
    </row>
    <row r="108">
      <c r="A108" s="32" t="n"/>
      <c r="B108" s="32" t="n"/>
      <c r="C108" s="32" t="n"/>
      <c r="D108" s="32" t="n"/>
      <c r="E108" s="32" t="n"/>
      <c r="F108" s="32" t="n"/>
      <c r="G108" s="32" t="n"/>
      <c r="H108" s="32" t="n"/>
      <c r="I108" s="32" t="n"/>
      <c r="J108" s="32" t="n"/>
      <c r="K108" s="32" t="n"/>
      <c r="L108" s="32" t="n"/>
      <c r="M108" s="32" t="n"/>
      <c r="N108" s="32" t="n"/>
      <c r="O108" s="32" t="n"/>
    </row>
    <row r="109">
      <c r="A109" s="32" t="n"/>
      <c r="B109" s="32" t="n"/>
      <c r="C109" s="32" t="n"/>
      <c r="D109" s="32" t="n"/>
      <c r="E109" s="32" t="n"/>
      <c r="F109" s="32" t="n"/>
      <c r="G109" s="32" t="n"/>
      <c r="H109" s="32" t="n"/>
      <c r="I109" s="32" t="n"/>
      <c r="J109" s="32" t="n"/>
      <c r="K109" s="32" t="n"/>
      <c r="L109" s="32" t="n"/>
      <c r="M109" s="32" t="n"/>
      <c r="N109" s="32" t="n"/>
      <c r="O109" s="32" t="n"/>
    </row>
    <row r="110">
      <c r="A110" s="32" t="n"/>
      <c r="B110" s="32" t="n"/>
      <c r="C110" s="32" t="n"/>
      <c r="D110" s="32" t="n"/>
      <c r="E110" s="32" t="n"/>
      <c r="F110" s="32" t="n"/>
      <c r="G110" s="32" t="n"/>
      <c r="H110" s="32" t="n"/>
      <c r="I110" s="32" t="n"/>
      <c r="J110" s="32" t="n"/>
      <c r="K110" s="32" t="n"/>
      <c r="L110" s="32" t="n"/>
      <c r="M110" s="32" t="n"/>
      <c r="N110" s="32" t="n"/>
      <c r="O110" s="32" t="n"/>
    </row>
    <row r="111">
      <c r="A111" s="32" t="n"/>
      <c r="B111" s="32" t="n"/>
      <c r="C111" s="32" t="n"/>
      <c r="D111" s="32" t="n"/>
      <c r="E111" s="32" t="n"/>
      <c r="F111" s="32" t="n"/>
      <c r="G111" s="32" t="n"/>
      <c r="H111" s="32" t="n"/>
      <c r="I111" s="32" t="n"/>
      <c r="J111" s="32" t="n"/>
      <c r="K111" s="32" t="n"/>
      <c r="L111" s="32" t="n"/>
      <c r="M111" s="32" t="n"/>
      <c r="N111" s="32" t="n"/>
      <c r="O111" s="32" t="n"/>
    </row>
    <row r="112">
      <c r="A112" s="32" t="n"/>
      <c r="B112" s="32" t="n"/>
      <c r="C112" s="32" t="n"/>
      <c r="D112" s="32" t="n"/>
      <c r="E112" s="32" t="n"/>
      <c r="F112" s="32" t="n"/>
      <c r="G112" s="32" t="n"/>
      <c r="H112" s="32" t="n"/>
      <c r="I112" s="32" t="n"/>
      <c r="J112" s="32" t="n"/>
      <c r="K112" s="32" t="n"/>
      <c r="L112" s="32" t="n"/>
      <c r="M112" s="32" t="n"/>
      <c r="N112" s="32" t="n"/>
      <c r="O112" s="32" t="n"/>
    </row>
    <row r="113">
      <c r="A113" s="32" t="n"/>
      <c r="B113" s="32" t="n"/>
      <c r="C113" s="32" t="n"/>
      <c r="D113" s="32" t="n"/>
      <c r="E113" s="32" t="n"/>
      <c r="F113" s="32" t="n"/>
      <c r="G113" s="32" t="n"/>
      <c r="H113" s="32" t="n"/>
      <c r="I113" s="32" t="n"/>
      <c r="J113" s="32" t="n"/>
      <c r="K113" s="32" t="n"/>
      <c r="L113" s="32" t="n"/>
      <c r="M113" s="32" t="n"/>
      <c r="N113" s="32" t="n"/>
      <c r="O113" s="32" t="n"/>
    </row>
    <row r="114">
      <c r="A114" s="32" t="n"/>
      <c r="B114" s="32" t="n"/>
      <c r="C114" s="32" t="n"/>
      <c r="D114" s="32" t="n"/>
      <c r="E114" s="32" t="n"/>
      <c r="F114" s="32" t="n"/>
      <c r="G114" s="32" t="n"/>
      <c r="H114" s="32" t="n"/>
      <c r="I114" s="32" t="n"/>
      <c r="J114" s="32" t="n"/>
      <c r="K114" s="32" t="n"/>
      <c r="L114" s="32" t="n"/>
      <c r="M114" s="32" t="n"/>
      <c r="N114" s="32" t="n"/>
      <c r="O114" s="32" t="n"/>
    </row>
    <row r="115">
      <c r="A115" s="32" t="n"/>
      <c r="B115" s="32" t="n"/>
      <c r="C115" s="32" t="n"/>
      <c r="D115" s="32" t="n"/>
      <c r="E115" s="32" t="n"/>
      <c r="F115" s="32" t="n"/>
      <c r="G115" s="32" t="n"/>
      <c r="H115" s="32" t="n"/>
      <c r="I115" s="32" t="n"/>
      <c r="J115" s="32" t="n"/>
      <c r="K115" s="32" t="n"/>
      <c r="L115" s="32" t="n"/>
      <c r="M115" s="32" t="n"/>
      <c r="N115" s="32" t="n"/>
      <c r="O115" s="32" t="n"/>
    </row>
    <row r="116">
      <c r="A116" s="32" t="n"/>
      <c r="B116" s="32" t="n"/>
      <c r="C116" s="32" t="n"/>
      <c r="D116" s="32" t="n"/>
      <c r="E116" s="32" t="n"/>
      <c r="F116" s="32" t="n"/>
      <c r="G116" s="32" t="n"/>
      <c r="H116" s="32" t="n"/>
      <c r="I116" s="32" t="n"/>
      <c r="J116" s="32" t="n"/>
      <c r="K116" s="32" t="n"/>
      <c r="L116" s="32" t="n"/>
      <c r="M116" s="32" t="n"/>
      <c r="N116" s="32" t="n"/>
      <c r="O116" s="32" t="n"/>
    </row>
    <row r="117">
      <c r="A117" s="32" t="n"/>
      <c r="B117" s="32" t="n"/>
      <c r="C117" s="32" t="n"/>
      <c r="D117" s="32" t="n"/>
      <c r="E117" s="32" t="n"/>
      <c r="F117" s="32" t="n"/>
      <c r="G117" s="32" t="n"/>
      <c r="H117" s="32" t="n"/>
      <c r="I117" s="32" t="n"/>
      <c r="J117" s="32" t="n"/>
      <c r="K117" s="32" t="n"/>
      <c r="L117" s="32" t="n"/>
      <c r="M117" s="32" t="n"/>
      <c r="N117" s="32" t="n"/>
      <c r="O117" s="32" t="n"/>
    </row>
    <row r="118">
      <c r="A118" s="32" t="n"/>
      <c r="B118" s="32" t="n"/>
      <c r="C118" s="32" t="n"/>
      <c r="D118" s="32" t="n"/>
      <c r="E118" s="32" t="n"/>
      <c r="F118" s="32" t="n"/>
      <c r="G118" s="32" t="n"/>
      <c r="H118" s="32" t="n"/>
      <c r="I118" s="32" t="n"/>
      <c r="J118" s="32" t="n"/>
      <c r="K118" s="32" t="n"/>
      <c r="L118" s="32" t="n"/>
      <c r="M118" s="32" t="n"/>
      <c r="N118" s="32" t="n"/>
      <c r="O118" s="32" t="n"/>
    </row>
    <row r="119">
      <c r="A119" s="32" t="n"/>
      <c r="B119" s="32" t="n"/>
      <c r="C119" s="32" t="n"/>
      <c r="D119" s="32" t="n"/>
      <c r="E119" s="32" t="n"/>
      <c r="F119" s="32" t="n"/>
      <c r="G119" s="32" t="n"/>
      <c r="H119" s="32" t="n"/>
      <c r="I119" s="32" t="n"/>
      <c r="J119" s="32" t="n"/>
      <c r="K119" s="32" t="n"/>
      <c r="L119" s="32" t="n"/>
      <c r="M119" s="32" t="n"/>
      <c r="N119" s="32" t="n"/>
      <c r="O119" s="32" t="n"/>
    </row>
    <row r="120">
      <c r="A120" s="32" t="n"/>
      <c r="B120" s="32" t="n"/>
      <c r="C120" s="32" t="n"/>
      <c r="D120" s="32" t="n"/>
      <c r="E120" s="32" t="n"/>
      <c r="F120" s="32" t="n"/>
      <c r="G120" s="32" t="n"/>
      <c r="H120" s="32" t="n"/>
      <c r="I120" s="32" t="n"/>
      <c r="J120" s="32" t="n"/>
      <c r="K120" s="32" t="n"/>
      <c r="L120" s="32" t="n"/>
      <c r="M120" s="32" t="n"/>
      <c r="N120" s="32" t="n"/>
      <c r="O120" s="32" t="n"/>
    </row>
    <row r="121">
      <c r="A121" s="32" t="n"/>
      <c r="B121" s="32" t="n"/>
      <c r="C121" s="32" t="n"/>
      <c r="D121" s="32" t="n"/>
      <c r="E121" s="32" t="n"/>
      <c r="F121" s="32" t="n"/>
      <c r="G121" s="32" t="n"/>
      <c r="H121" s="32" t="n"/>
      <c r="I121" s="32" t="n"/>
      <c r="J121" s="32" t="n"/>
      <c r="K121" s="32" t="n"/>
      <c r="L121" s="32" t="n"/>
      <c r="M121" s="32" t="n"/>
      <c r="N121" s="32" t="n"/>
      <c r="O121" s="32" t="n"/>
    </row>
    <row r="122">
      <c r="A122" s="32" t="n"/>
      <c r="B122" s="32" t="n"/>
      <c r="C122" s="32" t="n"/>
      <c r="D122" s="32" t="n"/>
      <c r="E122" s="32" t="n"/>
      <c r="F122" s="32" t="n"/>
      <c r="G122" s="32" t="n"/>
      <c r="H122" s="32" t="n"/>
      <c r="I122" s="32" t="n"/>
      <c r="J122" s="32" t="n"/>
      <c r="K122" s="32" t="n"/>
      <c r="L122" s="32" t="n"/>
      <c r="M122" s="32" t="n"/>
      <c r="N122" s="32" t="n"/>
      <c r="O122" s="32" t="n"/>
    </row>
    <row r="123">
      <c r="A123" s="32" t="n"/>
      <c r="B123" s="32" t="n"/>
      <c r="C123" s="32" t="n"/>
      <c r="D123" s="32" t="n"/>
      <c r="E123" s="32" t="n"/>
      <c r="F123" s="32" t="n"/>
      <c r="G123" s="32" t="n"/>
      <c r="H123" s="32" t="n"/>
      <c r="I123" s="32" t="n"/>
      <c r="J123" s="32" t="n"/>
      <c r="K123" s="32" t="n"/>
      <c r="L123" s="32" t="n"/>
      <c r="M123" s="32" t="n"/>
      <c r="N123" s="32" t="n"/>
      <c r="O123" s="32" t="n"/>
    </row>
    <row r="124">
      <c r="A124" s="32" t="n"/>
      <c r="B124" s="32" t="n"/>
      <c r="C124" s="32" t="n"/>
      <c r="D124" s="32" t="n"/>
      <c r="E124" s="32" t="n"/>
      <c r="F124" s="32" t="n"/>
      <c r="G124" s="32" t="n"/>
      <c r="H124" s="32" t="n"/>
      <c r="I124" s="32" t="n"/>
      <c r="J124" s="32" t="n"/>
      <c r="K124" s="32" t="n"/>
      <c r="L124" s="32" t="n"/>
      <c r="M124" s="32" t="n"/>
      <c r="N124" s="32" t="n"/>
      <c r="O124" s="32" t="n"/>
    </row>
    <row r="125">
      <c r="A125" s="32" t="n"/>
      <c r="B125" s="32" t="n"/>
      <c r="C125" s="32" t="n"/>
      <c r="D125" s="32" t="n"/>
      <c r="E125" s="32" t="n"/>
      <c r="F125" s="32" t="n"/>
      <c r="G125" s="32" t="n"/>
      <c r="H125" s="32" t="n"/>
      <c r="I125" s="32" t="n"/>
      <c r="J125" s="32" t="n"/>
      <c r="K125" s="32" t="n"/>
      <c r="L125" s="32" t="n"/>
      <c r="M125" s="32" t="n"/>
      <c r="N125" s="32" t="n"/>
      <c r="O125" s="32" t="n"/>
    </row>
    <row r="126">
      <c r="A126" s="32" t="n"/>
      <c r="B126" s="32" t="n"/>
      <c r="C126" s="32" t="n"/>
      <c r="D126" s="32" t="n"/>
      <c r="E126" s="32" t="n"/>
      <c r="F126" s="32" t="n"/>
      <c r="G126" s="32" t="n"/>
      <c r="H126" s="32" t="n"/>
      <c r="I126" s="32" t="n"/>
      <c r="J126" s="32" t="n"/>
      <c r="K126" s="32" t="n"/>
      <c r="L126" s="32" t="n"/>
      <c r="M126" s="32" t="n"/>
      <c r="N126" s="32" t="n"/>
      <c r="O126" s="32" t="n"/>
    </row>
    <row r="127">
      <c r="A127" s="32" t="n"/>
      <c r="B127" s="32" t="n"/>
      <c r="C127" s="32" t="n"/>
      <c r="D127" s="32" t="n"/>
      <c r="E127" s="32" t="n"/>
      <c r="F127" s="32" t="n"/>
      <c r="G127" s="32" t="n"/>
      <c r="H127" s="32" t="n"/>
      <c r="I127" s="32" t="n"/>
      <c r="J127" s="32" t="n"/>
      <c r="K127" s="32" t="n"/>
      <c r="L127" s="32" t="n"/>
      <c r="M127" s="32" t="n"/>
      <c r="N127" s="32" t="n"/>
      <c r="O127" s="32" t="n"/>
    </row>
    <row r="128">
      <c r="A128" s="32" t="n"/>
      <c r="B128" s="32" t="n"/>
      <c r="C128" s="32" t="n"/>
      <c r="D128" s="32" t="n"/>
      <c r="E128" s="32" t="n"/>
      <c r="F128" s="32" t="n"/>
      <c r="G128" s="32" t="n"/>
      <c r="H128" s="32" t="n"/>
      <c r="I128" s="32" t="n"/>
      <c r="J128" s="32" t="n"/>
      <c r="K128" s="32" t="n"/>
      <c r="L128" s="32" t="n"/>
      <c r="M128" s="32" t="n"/>
      <c r="N128" s="32" t="n"/>
      <c r="O128" s="32" t="n"/>
    </row>
    <row r="129">
      <c r="A129" s="32" t="n"/>
      <c r="B129" s="32" t="n"/>
      <c r="C129" s="32" t="n"/>
      <c r="D129" s="32" t="n"/>
      <c r="E129" s="32" t="n"/>
      <c r="F129" s="32" t="n"/>
      <c r="G129" s="32" t="n"/>
      <c r="H129" s="32" t="n"/>
      <c r="I129" s="32" t="n"/>
      <c r="J129" s="32" t="n"/>
      <c r="K129" s="32" t="n"/>
      <c r="L129" s="32" t="n"/>
      <c r="M129" s="32" t="n"/>
      <c r="N129" s="32" t="n"/>
      <c r="O129" s="32" t="n"/>
    </row>
    <row r="130">
      <c r="A130" s="32" t="n"/>
      <c r="B130" s="32" t="n"/>
      <c r="C130" s="32" t="n"/>
      <c r="D130" s="32" t="n"/>
      <c r="E130" s="32" t="n"/>
      <c r="F130" s="32" t="n"/>
      <c r="G130" s="32" t="n"/>
      <c r="H130" s="32" t="n"/>
      <c r="I130" s="32" t="n"/>
      <c r="J130" s="32" t="n"/>
      <c r="K130" s="32" t="n"/>
      <c r="L130" s="32" t="n"/>
      <c r="M130" s="32" t="n"/>
      <c r="N130" s="32" t="n"/>
      <c r="O130" s="32" t="n"/>
    </row>
    <row r="131">
      <c r="A131" s="32" t="n"/>
      <c r="B131" s="32" t="n"/>
      <c r="C131" s="32" t="n"/>
      <c r="D131" s="32" t="n"/>
      <c r="E131" s="32" t="n"/>
      <c r="F131" s="32" t="n"/>
      <c r="G131" s="32" t="n"/>
      <c r="H131" s="32" t="n"/>
      <c r="I131" s="32" t="n"/>
      <c r="J131" s="32" t="n"/>
      <c r="K131" s="32" t="n"/>
      <c r="L131" s="32" t="n"/>
      <c r="M131" s="32" t="n"/>
      <c r="N131" s="32" t="n"/>
      <c r="O131" s="32" t="n"/>
    </row>
    <row r="132">
      <c r="A132" s="32" t="n"/>
      <c r="B132" s="32" t="n"/>
      <c r="C132" s="32" t="n"/>
      <c r="D132" s="32" t="n"/>
      <c r="E132" s="32" t="n"/>
      <c r="F132" s="32" t="n"/>
      <c r="G132" s="32" t="n"/>
      <c r="H132" s="32" t="n"/>
      <c r="I132" s="32" t="n"/>
      <c r="J132" s="32" t="n"/>
      <c r="K132" s="32" t="n"/>
      <c r="L132" s="32" t="n"/>
      <c r="M132" s="32" t="n"/>
      <c r="N132" s="32" t="n"/>
      <c r="O132" s="32" t="n"/>
    </row>
    <row r="133">
      <c r="A133" s="32" t="n"/>
      <c r="B133" s="32" t="n"/>
      <c r="C133" s="32" t="n"/>
      <c r="D133" s="32" t="n"/>
      <c r="E133" s="32" t="n"/>
      <c r="F133" s="32" t="n"/>
      <c r="G133" s="32" t="n"/>
      <c r="H133" s="32" t="n"/>
      <c r="I133" s="32" t="n"/>
      <c r="J133" s="32" t="n"/>
      <c r="K133" s="32" t="n"/>
      <c r="L133" s="32" t="n"/>
      <c r="M133" s="32" t="n"/>
      <c r="N133" s="32" t="n"/>
      <c r="O133" s="32" t="n"/>
    </row>
    <row r="134">
      <c r="A134" s="32" t="n"/>
      <c r="B134" s="32" t="n"/>
      <c r="C134" s="32" t="n"/>
      <c r="D134" s="32" t="n"/>
      <c r="E134" s="32" t="n"/>
      <c r="F134" s="32" t="n"/>
      <c r="G134" s="32" t="n"/>
      <c r="H134" s="32" t="n"/>
      <c r="I134" s="32" t="n"/>
      <c r="J134" s="32" t="n"/>
      <c r="K134" s="32" t="n"/>
      <c r="L134" s="32" t="n"/>
      <c r="M134" s="32" t="n"/>
      <c r="N134" s="32" t="n"/>
      <c r="O134" s="32" t="n"/>
    </row>
    <row r="135">
      <c r="A135" s="32" t="n"/>
      <c r="B135" s="32" t="n"/>
      <c r="C135" s="32" t="n"/>
      <c r="D135" s="32" t="n"/>
      <c r="E135" s="32" t="n"/>
      <c r="F135" s="32" t="n"/>
      <c r="G135" s="32" t="n"/>
      <c r="H135" s="32" t="n"/>
      <c r="I135" s="32" t="n"/>
      <c r="J135" s="32" t="n"/>
      <c r="K135" s="32" t="n"/>
      <c r="L135" s="32" t="n"/>
      <c r="M135" s="32" t="n"/>
      <c r="N135" s="32" t="n"/>
      <c r="O135" s="32" t="n"/>
    </row>
    <row r="136">
      <c r="A136" s="32" t="n"/>
      <c r="B136" s="32" t="n"/>
      <c r="C136" s="32" t="n"/>
      <c r="D136" s="32" t="n"/>
      <c r="E136" s="32" t="n"/>
      <c r="F136" s="32" t="n"/>
      <c r="G136" s="32" t="n"/>
      <c r="H136" s="32" t="n"/>
      <c r="I136" s="32" t="n"/>
      <c r="J136" s="32" t="n"/>
      <c r="K136" s="32" t="n"/>
      <c r="L136" s="32" t="n"/>
      <c r="M136" s="32" t="n"/>
      <c r="N136" s="32" t="n"/>
      <c r="O136" s="32" t="n"/>
    </row>
    <row r="137">
      <c r="A137" s="32" t="n"/>
      <c r="B137" s="32" t="n"/>
      <c r="C137" s="32" t="n"/>
      <c r="D137" s="32" t="n"/>
      <c r="E137" s="32" t="n"/>
      <c r="F137" s="32" t="n"/>
      <c r="G137" s="32" t="n"/>
      <c r="H137" s="32" t="n"/>
      <c r="I137" s="32" t="n"/>
      <c r="J137" s="32" t="n"/>
      <c r="K137" s="32" t="n"/>
      <c r="L137" s="32" t="n"/>
      <c r="M137" s="32" t="n"/>
      <c r="N137" s="32" t="n"/>
      <c r="O137" s="32" t="n"/>
    </row>
    <row r="138">
      <c r="A138" s="32" t="n"/>
      <c r="B138" s="32" t="n"/>
      <c r="C138" s="32" t="n"/>
      <c r="D138" s="32" t="n"/>
      <c r="E138" s="32" t="n"/>
      <c r="F138" s="32" t="n"/>
      <c r="G138" s="32" t="n"/>
      <c r="H138" s="32" t="n"/>
      <c r="I138" s="32" t="n"/>
      <c r="J138" s="32" t="n"/>
      <c r="K138" s="32" t="n"/>
      <c r="L138" s="32" t="n"/>
      <c r="M138" s="32" t="n"/>
      <c r="N138" s="32" t="n"/>
      <c r="O138" s="32" t="n"/>
    </row>
    <row r="139">
      <c r="A139" s="32" t="n"/>
      <c r="B139" s="32" t="n"/>
      <c r="C139" s="32" t="n"/>
      <c r="D139" s="32" t="n"/>
      <c r="E139" s="32" t="n"/>
      <c r="F139" s="32" t="n"/>
      <c r="G139" s="32" t="n"/>
      <c r="H139" s="32" t="n"/>
      <c r="I139" s="32" t="n"/>
      <c r="J139" s="32" t="n"/>
      <c r="K139" s="32" t="n"/>
      <c r="L139" s="32" t="n"/>
      <c r="M139" s="32" t="n"/>
      <c r="N139" s="32" t="n"/>
      <c r="O139" s="32" t="n"/>
    </row>
    <row r="140">
      <c r="A140" s="32" t="n"/>
      <c r="B140" s="32" t="n"/>
      <c r="C140" s="32" t="n"/>
      <c r="D140" s="32" t="n"/>
      <c r="E140" s="32" t="n"/>
      <c r="F140" s="32" t="n"/>
      <c r="G140" s="32" t="n"/>
      <c r="H140" s="32" t="n"/>
      <c r="I140" s="32" t="n"/>
      <c r="J140" s="32" t="n"/>
      <c r="K140" s="32" t="n"/>
      <c r="L140" s="32" t="n"/>
      <c r="M140" s="32" t="n"/>
      <c r="N140" s="32" t="n"/>
      <c r="O140" s="32" t="n"/>
    </row>
    <row r="141">
      <c r="A141" s="32" t="n"/>
      <c r="B141" s="32" t="n"/>
      <c r="C141" s="32" t="n"/>
      <c r="D141" s="32" t="n"/>
      <c r="E141" s="32" t="n"/>
      <c r="F141" s="32" t="n"/>
      <c r="G141" s="32" t="n"/>
      <c r="H141" s="32" t="n"/>
      <c r="I141" s="32" t="n"/>
      <c r="J141" s="32" t="n"/>
      <c r="K141" s="32" t="n"/>
      <c r="L141" s="32" t="n"/>
      <c r="M141" s="32" t="n"/>
      <c r="N141" s="32" t="n"/>
      <c r="O141" s="32" t="n"/>
    </row>
    <row r="142">
      <c r="A142" s="32" t="n"/>
      <c r="B142" s="32" t="n"/>
      <c r="C142" s="32" t="n"/>
      <c r="D142" s="32" t="n"/>
      <c r="E142" s="32" t="n"/>
      <c r="F142" s="32" t="n"/>
      <c r="G142" s="32" t="n"/>
      <c r="H142" s="32" t="n"/>
      <c r="I142" s="32" t="n"/>
      <c r="J142" s="32" t="n"/>
      <c r="K142" s="32" t="n"/>
      <c r="L142" s="32" t="n"/>
      <c r="M142" s="32" t="n"/>
      <c r="N142" s="32" t="n"/>
      <c r="O142" s="32" t="n"/>
    </row>
    <row r="143">
      <c r="A143" s="32" t="n"/>
      <c r="B143" s="32" t="n"/>
      <c r="C143" s="32" t="n"/>
      <c r="D143" s="32" t="n"/>
      <c r="E143" s="32" t="n"/>
      <c r="F143" s="32" t="n"/>
      <c r="G143" s="32" t="n"/>
      <c r="H143" s="32" t="n"/>
      <c r="I143" s="32" t="n"/>
      <c r="J143" s="32" t="n"/>
      <c r="K143" s="32" t="n"/>
      <c r="L143" s="32" t="n"/>
      <c r="M143" s="32" t="n"/>
      <c r="N143" s="32" t="n"/>
      <c r="O143" s="32" t="n"/>
    </row>
    <row r="144">
      <c r="A144" s="32" t="n"/>
      <c r="B144" s="32" t="n"/>
      <c r="C144" s="32" t="n"/>
      <c r="D144" s="32" t="n"/>
      <c r="E144" s="32" t="n"/>
      <c r="F144" s="32" t="n"/>
      <c r="G144" s="32" t="n"/>
      <c r="H144" s="32" t="n"/>
      <c r="I144" s="32" t="n"/>
      <c r="J144" s="32" t="n"/>
      <c r="K144" s="32" t="n"/>
      <c r="L144" s="32" t="n"/>
      <c r="M144" s="32" t="n"/>
      <c r="N144" s="32" t="n"/>
      <c r="O144" s="32" t="n"/>
    </row>
    <row r="145">
      <c r="A145" s="32" t="n"/>
      <c r="B145" s="32" t="n"/>
      <c r="C145" s="32" t="n"/>
      <c r="D145" s="32" t="n"/>
      <c r="E145" s="32" t="n"/>
      <c r="F145" s="32" t="n"/>
      <c r="G145" s="32" t="n"/>
      <c r="H145" s="32" t="n"/>
      <c r="I145" s="32" t="n"/>
      <c r="J145" s="32" t="n"/>
      <c r="K145" s="32" t="n"/>
      <c r="L145" s="32" t="n"/>
      <c r="M145" s="32" t="n"/>
      <c r="N145" s="32" t="n"/>
      <c r="O145" s="32" t="n"/>
    </row>
    <row r="146">
      <c r="A146" s="32" t="n"/>
      <c r="B146" s="32" t="n"/>
      <c r="C146" s="32" t="n"/>
      <c r="D146" s="32" t="n"/>
      <c r="E146" s="32" t="n"/>
      <c r="F146" s="32" t="n"/>
      <c r="G146" s="32" t="n"/>
      <c r="H146" s="32" t="n"/>
      <c r="I146" s="32" t="n"/>
      <c r="J146" s="32" t="n"/>
      <c r="K146" s="32" t="n"/>
      <c r="L146" s="32" t="n"/>
      <c r="M146" s="32" t="n"/>
      <c r="N146" s="32" t="n"/>
      <c r="O146" s="32" t="n"/>
    </row>
    <row r="147">
      <c r="A147" s="32" t="n"/>
      <c r="B147" s="32" t="n"/>
      <c r="C147" s="32" t="n"/>
      <c r="D147" s="32" t="n"/>
      <c r="E147" s="32" t="n"/>
      <c r="F147" s="32" t="n"/>
      <c r="G147" s="32" t="n"/>
      <c r="H147" s="32" t="n"/>
      <c r="I147" s="32" t="n"/>
      <c r="J147" s="32" t="n"/>
      <c r="K147" s="32" t="n"/>
      <c r="L147" s="32" t="n"/>
      <c r="M147" s="32" t="n"/>
      <c r="N147" s="32" t="n"/>
      <c r="O147" s="32" t="n"/>
    </row>
    <row r="148">
      <c r="A148" s="32" t="n"/>
      <c r="B148" s="32" t="n"/>
      <c r="C148" s="32" t="n"/>
      <c r="D148" s="32" t="n"/>
      <c r="E148" s="32" t="n"/>
      <c r="F148" s="32" t="n"/>
      <c r="G148" s="32" t="n"/>
      <c r="H148" s="32" t="n"/>
      <c r="I148" s="32" t="n"/>
      <c r="J148" s="32" t="n"/>
      <c r="K148" s="32" t="n"/>
      <c r="L148" s="32" t="n"/>
      <c r="M148" s="32" t="n"/>
      <c r="N148" s="32" t="n"/>
      <c r="O148" s="32" t="n"/>
    </row>
    <row r="149">
      <c r="A149" s="32" t="n"/>
      <c r="B149" s="32" t="n"/>
      <c r="C149" s="32" t="n"/>
      <c r="D149" s="32" t="n"/>
      <c r="E149" s="32" t="n"/>
      <c r="F149" s="32" t="n"/>
      <c r="G149" s="32" t="n"/>
      <c r="H149" s="32" t="n"/>
      <c r="I149" s="32" t="n"/>
      <c r="J149" s="32" t="n"/>
      <c r="K149" s="32" t="n"/>
      <c r="L149" s="32" t="n"/>
      <c r="M149" s="32" t="n"/>
      <c r="N149" s="32" t="n"/>
      <c r="O149" s="32" t="n"/>
    </row>
    <row r="150">
      <c r="A150" s="32" t="n"/>
      <c r="B150" s="32" t="n"/>
      <c r="C150" s="32" t="n"/>
      <c r="D150" s="32" t="n"/>
      <c r="E150" s="32" t="n"/>
      <c r="F150" s="32" t="n"/>
      <c r="G150" s="32" t="n"/>
      <c r="H150" s="32" t="n"/>
      <c r="I150" s="32" t="n"/>
      <c r="J150" s="32" t="n"/>
      <c r="K150" s="32" t="n"/>
      <c r="L150" s="32" t="n"/>
      <c r="M150" s="32" t="n"/>
      <c r="N150" s="32" t="n"/>
      <c r="O150" s="32" t="n"/>
    </row>
    <row r="151">
      <c r="A151" s="32" t="n"/>
      <c r="B151" s="32" t="n"/>
      <c r="C151" s="32" t="n"/>
      <c r="D151" s="32" t="n"/>
      <c r="E151" s="32" t="n"/>
      <c r="F151" s="32" t="n"/>
      <c r="G151" s="32" t="n"/>
      <c r="H151" s="32" t="n"/>
      <c r="I151" s="32" t="n"/>
      <c r="J151" s="32" t="n"/>
      <c r="K151" s="32" t="n"/>
      <c r="L151" s="32" t="n"/>
      <c r="M151" s="32" t="n"/>
      <c r="N151" s="32" t="n"/>
      <c r="O151" s="32" t="n"/>
    </row>
    <row r="152">
      <c r="A152" s="32" t="n"/>
      <c r="B152" s="32" t="n"/>
      <c r="C152" s="32" t="n"/>
      <c r="D152" s="32" t="n"/>
      <c r="E152" s="32" t="n"/>
      <c r="F152" s="32" t="n"/>
      <c r="G152" s="32" t="n"/>
      <c r="H152" s="32" t="n"/>
      <c r="I152" s="32" t="n"/>
      <c r="J152" s="32" t="n"/>
      <c r="K152" s="32" t="n"/>
      <c r="L152" s="32" t="n"/>
      <c r="M152" s="32" t="n"/>
      <c r="N152" s="32" t="n"/>
      <c r="O152" s="32" t="n"/>
    </row>
    <row r="153">
      <c r="A153" s="32" t="n"/>
      <c r="B153" s="32" t="n"/>
      <c r="C153" s="32" t="n"/>
      <c r="D153" s="32" t="n"/>
      <c r="E153" s="32" t="n"/>
      <c r="F153" s="32" t="n"/>
      <c r="G153" s="32" t="n"/>
      <c r="H153" s="32" t="n"/>
      <c r="I153" s="32" t="n"/>
      <c r="J153" s="32" t="n"/>
      <c r="K153" s="32" t="n"/>
      <c r="L153" s="32" t="n"/>
      <c r="M153" s="32" t="n"/>
      <c r="N153" s="32" t="n"/>
      <c r="O153" s="32" t="n"/>
    </row>
    <row r="154">
      <c r="A154" s="32" t="n"/>
      <c r="B154" s="32" t="n"/>
      <c r="C154" s="32" t="n"/>
      <c r="D154" s="32" t="n"/>
      <c r="E154" s="32" t="n"/>
      <c r="F154" s="32" t="n"/>
      <c r="G154" s="32" t="n"/>
      <c r="H154" s="32" t="n"/>
      <c r="I154" s="32" t="n"/>
      <c r="J154" s="32" t="n"/>
      <c r="K154" s="32" t="n"/>
      <c r="L154" s="32" t="n"/>
      <c r="M154" s="32" t="n"/>
      <c r="N154" s="32" t="n"/>
      <c r="O154" s="32" t="n"/>
    </row>
    <row r="155">
      <c r="A155" s="32" t="n"/>
      <c r="B155" s="32" t="n"/>
      <c r="C155" s="32" t="n"/>
      <c r="D155" s="32" t="n"/>
      <c r="E155" s="32" t="n"/>
      <c r="F155" s="32" t="n"/>
      <c r="G155" s="32" t="n"/>
      <c r="H155" s="32" t="n"/>
      <c r="I155" s="32" t="n"/>
      <c r="J155" s="32" t="n"/>
      <c r="K155" s="32" t="n"/>
      <c r="L155" s="32" t="n"/>
      <c r="M155" s="32" t="n"/>
      <c r="N155" s="32" t="n"/>
      <c r="O155" s="32" t="n"/>
    </row>
    <row r="156">
      <c r="A156" s="32" t="n"/>
      <c r="B156" s="32" t="n"/>
      <c r="C156" s="32" t="n"/>
      <c r="D156" s="32" t="n"/>
      <c r="E156" s="32" t="n"/>
      <c r="F156" s="32" t="n"/>
      <c r="G156" s="32" t="n"/>
      <c r="H156" s="32" t="n"/>
      <c r="I156" s="32" t="n"/>
      <c r="J156" s="32" t="n"/>
      <c r="K156" s="32" t="n"/>
      <c r="L156" s="32" t="n"/>
      <c r="M156" s="32" t="n"/>
      <c r="N156" s="32" t="n"/>
      <c r="O156" s="32" t="n"/>
    </row>
    <row r="157">
      <c r="A157" s="32" t="n"/>
      <c r="B157" s="32" t="n"/>
      <c r="C157" s="32" t="n"/>
      <c r="D157" s="32" t="n"/>
      <c r="E157" s="32" t="n"/>
      <c r="F157" s="32" t="n"/>
      <c r="G157" s="32" t="n"/>
      <c r="H157" s="32" t="n"/>
      <c r="I157" s="32" t="n"/>
      <c r="J157" s="32" t="n"/>
      <c r="K157" s="32" t="n"/>
      <c r="L157" s="32" t="n"/>
      <c r="M157" s="32" t="n"/>
      <c r="N157" s="32" t="n"/>
      <c r="O157" s="32" t="n"/>
    </row>
    <row r="158">
      <c r="A158" s="32" t="n"/>
      <c r="B158" s="32" t="n"/>
      <c r="C158" s="32" t="n"/>
      <c r="D158" s="32" t="n"/>
      <c r="E158" s="32" t="n"/>
      <c r="F158" s="32" t="n"/>
      <c r="G158" s="32" t="n"/>
      <c r="H158" s="32" t="n"/>
      <c r="I158" s="32" t="n"/>
      <c r="J158" s="32" t="n"/>
      <c r="K158" s="32" t="n"/>
      <c r="L158" s="32" t="n"/>
      <c r="M158" s="32" t="n"/>
      <c r="N158" s="32" t="n"/>
      <c r="O158" s="32" t="n"/>
    </row>
    <row r="159">
      <c r="A159" s="32" t="n"/>
      <c r="B159" s="32" t="n"/>
      <c r="C159" s="32" t="n"/>
      <c r="D159" s="32" t="n"/>
      <c r="E159" s="32" t="n"/>
      <c r="F159" s="32" t="n"/>
      <c r="G159" s="32" t="n"/>
      <c r="H159" s="32" t="n"/>
      <c r="I159" s="32" t="n"/>
      <c r="J159" s="32" t="n"/>
      <c r="K159" s="32" t="n"/>
      <c r="L159" s="32" t="n"/>
      <c r="M159" s="32" t="n"/>
      <c r="N159" s="32" t="n"/>
      <c r="O159" s="32" t="n"/>
    </row>
    <row r="160">
      <c r="A160" s="32" t="n"/>
      <c r="B160" s="32" t="n"/>
      <c r="C160" s="32" t="n"/>
      <c r="D160" s="32" t="n"/>
      <c r="E160" s="32" t="n"/>
      <c r="F160" s="32" t="n"/>
      <c r="G160" s="32" t="n"/>
      <c r="H160" s="32" t="n"/>
      <c r="I160" s="32" t="n"/>
      <c r="J160" s="32" t="n"/>
      <c r="K160" s="32" t="n"/>
      <c r="L160" s="32" t="n"/>
      <c r="M160" s="32" t="n"/>
      <c r="N160" s="32" t="n"/>
      <c r="O160" s="32" t="n"/>
    </row>
    <row r="161">
      <c r="A161" s="32" t="n"/>
      <c r="B161" s="32" t="n"/>
      <c r="C161" s="32" t="n"/>
      <c r="D161" s="32" t="n"/>
      <c r="E161" s="32" t="n"/>
      <c r="F161" s="32" t="n"/>
      <c r="G161" s="32" t="n"/>
      <c r="H161" s="32" t="n"/>
      <c r="I161" s="32" t="n"/>
      <c r="J161" s="32" t="n"/>
      <c r="K161" s="32" t="n"/>
      <c r="L161" s="32" t="n"/>
      <c r="M161" s="32" t="n"/>
      <c r="N161" s="32" t="n"/>
      <c r="O161" s="32" t="n"/>
    </row>
    <row r="162">
      <c r="A162" s="32" t="n"/>
      <c r="B162" s="32" t="n"/>
      <c r="C162" s="32" t="n"/>
      <c r="D162" s="32" t="n"/>
      <c r="E162" s="32" t="n"/>
      <c r="F162" s="32" t="n"/>
      <c r="G162" s="32" t="n"/>
      <c r="H162" s="32" t="n"/>
      <c r="I162" s="32" t="n"/>
      <c r="J162" s="32" t="n"/>
      <c r="K162" s="32" t="n"/>
      <c r="L162" s="32" t="n"/>
      <c r="M162" s="32" t="n"/>
      <c r="N162" s="32" t="n"/>
      <c r="O162" s="32" t="n"/>
    </row>
    <row r="163">
      <c r="A163" s="32" t="n"/>
      <c r="B163" s="32" t="n"/>
      <c r="C163" s="32" t="n"/>
      <c r="D163" s="32" t="n"/>
      <c r="E163" s="32" t="n"/>
      <c r="F163" s="32" t="n"/>
      <c r="G163" s="32" t="n"/>
      <c r="H163" s="32" t="n"/>
      <c r="I163" s="32" t="n"/>
      <c r="J163" s="32" t="n"/>
      <c r="K163" s="32" t="n"/>
      <c r="L163" s="32" t="n"/>
      <c r="M163" s="32" t="n"/>
      <c r="N163" s="32" t="n"/>
      <c r="O163" s="32" t="n"/>
    </row>
    <row r="164">
      <c r="A164" s="32" t="n"/>
      <c r="B164" s="32" t="n"/>
      <c r="C164" s="32" t="n"/>
      <c r="D164" s="32" t="n"/>
      <c r="E164" s="32" t="n"/>
      <c r="F164" s="32" t="n"/>
      <c r="G164" s="32" t="n"/>
      <c r="H164" s="32" t="n"/>
      <c r="I164" s="32" t="n"/>
      <c r="J164" s="32" t="n"/>
      <c r="K164" s="32" t="n"/>
      <c r="L164" s="32" t="n"/>
      <c r="M164" s="32" t="n"/>
      <c r="N164" s="32" t="n"/>
      <c r="O164" s="32" t="n"/>
    </row>
    <row r="165">
      <c r="A165" s="32" t="n"/>
      <c r="B165" s="32" t="n"/>
      <c r="C165" s="32" t="n"/>
      <c r="D165" s="32" t="n"/>
      <c r="E165" s="32" t="n"/>
      <c r="F165" s="32" t="n"/>
      <c r="G165" s="32" t="n"/>
      <c r="H165" s="32" t="n"/>
      <c r="I165" s="32" t="n"/>
      <c r="J165" s="32" t="n"/>
      <c r="K165" s="32" t="n"/>
      <c r="L165" s="32" t="n"/>
      <c r="M165" s="32" t="n"/>
      <c r="N165" s="32" t="n"/>
      <c r="O165" s="32" t="n"/>
    </row>
    <row r="166">
      <c r="A166" s="32" t="n"/>
      <c r="B166" s="32" t="n"/>
      <c r="C166" s="32" t="n"/>
      <c r="D166" s="32" t="n"/>
      <c r="E166" s="32" t="n"/>
      <c r="F166" s="32" t="n"/>
      <c r="G166" s="32" t="n"/>
      <c r="H166" s="32" t="n"/>
      <c r="I166" s="32" t="n"/>
      <c r="J166" s="32" t="n"/>
      <c r="K166" s="32" t="n"/>
      <c r="L166" s="32" t="n"/>
      <c r="M166" s="32" t="n"/>
      <c r="N166" s="32" t="n"/>
      <c r="O166" s="32" t="n"/>
    </row>
    <row r="167">
      <c r="A167" s="32" t="n"/>
      <c r="B167" s="32" t="n"/>
      <c r="C167" s="32" t="n"/>
      <c r="D167" s="32" t="n"/>
      <c r="E167" s="32" t="n"/>
      <c r="F167" s="32" t="n"/>
      <c r="G167" s="32" t="n"/>
      <c r="H167" s="32" t="n"/>
      <c r="I167" s="32" t="n"/>
      <c r="J167" s="32" t="n"/>
      <c r="K167" s="32" t="n"/>
      <c r="L167" s="32" t="n"/>
      <c r="M167" s="32" t="n"/>
      <c r="N167" s="32" t="n"/>
      <c r="O167" s="32" t="n"/>
    </row>
    <row r="168">
      <c r="A168" s="32" t="n"/>
      <c r="B168" s="32" t="n"/>
      <c r="C168" s="32" t="n"/>
      <c r="D168" s="32" t="n"/>
      <c r="E168" s="32" t="n"/>
      <c r="F168" s="32" t="n"/>
      <c r="G168" s="32" t="n"/>
      <c r="H168" s="32" t="n"/>
      <c r="I168" s="32" t="n"/>
      <c r="J168" s="32" t="n"/>
      <c r="K168" s="32" t="n"/>
      <c r="L168" s="32" t="n"/>
      <c r="M168" s="32" t="n"/>
      <c r="N168" s="32" t="n"/>
      <c r="O168" s="32" t="n"/>
    </row>
    <row r="169">
      <c r="A169" s="32" t="n"/>
      <c r="B169" s="32" t="n"/>
      <c r="C169" s="32" t="n"/>
      <c r="D169" s="32" t="n"/>
      <c r="E169" s="32" t="n"/>
      <c r="F169" s="32" t="n"/>
      <c r="G169" s="32" t="n"/>
      <c r="H169" s="32" t="n"/>
      <c r="I169" s="32" t="n"/>
      <c r="J169" s="32" t="n"/>
      <c r="K169" s="32" t="n"/>
      <c r="L169" s="32" t="n"/>
      <c r="M169" s="32" t="n"/>
      <c r="N169" s="32" t="n"/>
      <c r="O169" s="32" t="n"/>
    </row>
    <row r="170">
      <c r="A170" s="32" t="n"/>
      <c r="B170" s="32" t="n"/>
      <c r="C170" s="32" t="n"/>
      <c r="D170" s="32" t="n"/>
      <c r="E170" s="32" t="n"/>
      <c r="F170" s="32" t="n"/>
      <c r="G170" s="32" t="n"/>
      <c r="H170" s="32" t="n"/>
      <c r="I170" s="32" t="n"/>
      <c r="J170" s="32" t="n"/>
      <c r="K170" s="32" t="n"/>
      <c r="L170" s="32" t="n"/>
      <c r="M170" s="32" t="n"/>
      <c r="N170" s="32" t="n"/>
      <c r="O170" s="32" t="n"/>
    </row>
    <row r="171">
      <c r="A171" s="32" t="n"/>
      <c r="B171" s="32" t="n"/>
      <c r="C171" s="32" t="n"/>
      <c r="D171" s="32" t="n"/>
      <c r="E171" s="32" t="n"/>
      <c r="F171" s="32" t="n"/>
      <c r="G171" s="32" t="n"/>
      <c r="H171" s="32" t="n"/>
      <c r="I171" s="32" t="n"/>
      <c r="J171" s="32" t="n"/>
      <c r="K171" s="32" t="n"/>
      <c r="L171" s="32" t="n"/>
      <c r="M171" s="32" t="n"/>
      <c r="N171" s="32" t="n"/>
      <c r="O171" s="32" t="n"/>
    </row>
    <row r="172">
      <c r="A172" s="32" t="n"/>
      <c r="B172" s="32" t="n"/>
      <c r="C172" s="32" t="n"/>
      <c r="D172" s="32" t="n"/>
      <c r="E172" s="32" t="n"/>
      <c r="F172" s="32" t="n"/>
      <c r="G172" s="32" t="n"/>
      <c r="H172" s="32" t="n"/>
      <c r="I172" s="32" t="n"/>
      <c r="J172" s="32" t="n"/>
      <c r="K172" s="32" t="n"/>
      <c r="L172" s="32" t="n"/>
      <c r="M172" s="32" t="n"/>
      <c r="N172" s="32" t="n"/>
      <c r="O172" s="32" t="n"/>
    </row>
    <row r="173">
      <c r="A173" s="32" t="n"/>
      <c r="B173" s="32" t="n"/>
      <c r="C173" s="32" t="n"/>
      <c r="D173" s="32" t="n"/>
      <c r="E173" s="32" t="n"/>
      <c r="F173" s="32" t="n"/>
      <c r="G173" s="32" t="n"/>
      <c r="H173" s="32" t="n"/>
      <c r="I173" s="32" t="n"/>
      <c r="J173" s="32" t="n"/>
      <c r="K173" s="32" t="n"/>
      <c r="L173" s="32" t="n"/>
      <c r="M173" s="32" t="n"/>
      <c r="N173" s="32" t="n"/>
      <c r="O173" s="32" t="n"/>
    </row>
    <row r="174">
      <c r="A174" s="32" t="n"/>
      <c r="B174" s="32" t="n"/>
      <c r="C174" s="32" t="n"/>
      <c r="D174" s="32" t="n"/>
      <c r="E174" s="32" t="n"/>
      <c r="F174" s="32" t="n"/>
      <c r="G174" s="32" t="n"/>
      <c r="H174" s="32" t="n"/>
      <c r="I174" s="32" t="n"/>
      <c r="J174" s="32" t="n"/>
      <c r="K174" s="32" t="n"/>
      <c r="L174" s="32" t="n"/>
      <c r="M174" s="32" t="n"/>
      <c r="N174" s="32" t="n"/>
      <c r="O174" s="32" t="n"/>
    </row>
    <row r="175">
      <c r="A175" s="32" t="n"/>
      <c r="B175" s="32" t="n"/>
      <c r="C175" s="32" t="n"/>
      <c r="D175" s="32" t="n"/>
      <c r="E175" s="32" t="n"/>
      <c r="F175" s="32" t="n"/>
      <c r="G175" s="32" t="n"/>
      <c r="H175" s="32" t="n"/>
      <c r="I175" s="32" t="n"/>
      <c r="J175" s="32" t="n"/>
      <c r="K175" s="32" t="n"/>
      <c r="L175" s="32" t="n"/>
      <c r="M175" s="32" t="n"/>
      <c r="N175" s="32" t="n"/>
      <c r="O175" s="32" t="n"/>
    </row>
    <row r="176">
      <c r="A176" s="32" t="n"/>
      <c r="B176" s="32" t="n"/>
      <c r="C176" s="32" t="n"/>
      <c r="D176" s="32" t="n"/>
      <c r="E176" s="32" t="n"/>
      <c r="F176" s="32" t="n"/>
      <c r="G176" s="32" t="n"/>
      <c r="H176" s="32" t="n"/>
      <c r="I176" s="32" t="n"/>
      <c r="J176" s="32" t="n"/>
      <c r="K176" s="32" t="n"/>
      <c r="L176" s="32" t="n"/>
      <c r="M176" s="32" t="n"/>
      <c r="N176" s="32" t="n"/>
      <c r="O176" s="32" t="n"/>
    </row>
    <row r="177">
      <c r="A177" s="32" t="n"/>
      <c r="B177" s="32" t="n"/>
      <c r="C177" s="32" t="n"/>
      <c r="D177" s="32" t="n"/>
      <c r="E177" s="32" t="n"/>
      <c r="F177" s="32" t="n"/>
      <c r="G177" s="32" t="n"/>
      <c r="H177" s="32" t="n"/>
      <c r="I177" s="32" t="n"/>
      <c r="J177" s="32" t="n"/>
      <c r="K177" s="32" t="n"/>
      <c r="L177" s="32" t="n"/>
      <c r="M177" s="32" t="n"/>
      <c r="N177" s="32" t="n"/>
      <c r="O177" s="32" t="n"/>
    </row>
    <row r="178">
      <c r="A178" s="32" t="n"/>
      <c r="B178" s="32" t="n"/>
      <c r="C178" s="32" t="n"/>
      <c r="D178" s="32" t="n"/>
      <c r="E178" s="32" t="n"/>
      <c r="F178" s="32" t="n"/>
      <c r="G178" s="32" t="n"/>
      <c r="H178" s="32" t="n"/>
      <c r="I178" s="32" t="n"/>
      <c r="J178" s="32" t="n"/>
      <c r="K178" s="32" t="n"/>
      <c r="L178" s="32" t="n"/>
      <c r="M178" s="32" t="n"/>
      <c r="N178" s="32" t="n"/>
      <c r="O178" s="32" t="n"/>
    </row>
    <row r="179">
      <c r="A179" s="32" t="n"/>
      <c r="B179" s="32" t="n"/>
      <c r="C179" s="32" t="n"/>
      <c r="D179" s="32" t="n"/>
      <c r="E179" s="32" t="n"/>
      <c r="F179" s="32" t="n"/>
      <c r="G179" s="32" t="n"/>
      <c r="H179" s="32" t="n"/>
      <c r="I179" s="32" t="n"/>
      <c r="J179" s="32" t="n"/>
      <c r="K179" s="32" t="n"/>
      <c r="L179" s="32" t="n"/>
      <c r="M179" s="32" t="n"/>
      <c r="N179" s="32" t="n"/>
      <c r="O179" s="32" t="n"/>
    </row>
    <row r="180">
      <c r="A180" s="32" t="n"/>
      <c r="B180" s="32" t="n"/>
      <c r="C180" s="32" t="n"/>
      <c r="D180" s="32" t="n"/>
      <c r="E180" s="32" t="n"/>
      <c r="F180" s="32" t="n"/>
      <c r="G180" s="32" t="n"/>
      <c r="H180" s="32" t="n"/>
      <c r="I180" s="32" t="n"/>
      <c r="J180" s="32" t="n"/>
      <c r="K180" s="32" t="n"/>
      <c r="L180" s="32" t="n"/>
      <c r="M180" s="32" t="n"/>
      <c r="N180" s="32" t="n"/>
      <c r="O180" s="32" t="n"/>
    </row>
  </sheetData>
  <mergeCells count="2">
    <mergeCell ref="A1:O1"/>
    <mergeCell ref="A2:O2"/>
  </mergeCells>
  <conditionalFormatting sqref="G5:G180">
    <cfRule type="expression" priority="1" dxfId="0">
      <formula>G5="PASS"</formula>
    </cfRule>
    <cfRule type="expression" priority="2" dxfId="1">
      <formula>G5="FAIL"</formula>
    </cfRule>
    <cfRule type="expression" priority="3" dxfId="2">
      <formula>G5="RETEST REQUIRED"</formula>
    </cfRule>
    <cfRule type="expression" priority="4" dxfId="3">
      <formula>G5="BLOCKED"</formula>
    </cfRule>
    <cfRule type="expression" priority="5" dxfId="4">
      <formula>G5="PENDING"</formula>
    </cfRule>
  </conditionalFormatting>
  <conditionalFormatting sqref="K5:K180">
    <cfRule type="expression" priority="6" dxfId="5">
      <formula>K5="Critical"</formula>
    </cfRule>
    <cfRule type="expression" priority="7" dxfId="3">
      <formula>K5="High"</formula>
    </cfRule>
    <cfRule type="expression" priority="8" dxfId="2">
      <formula>K5="Medium"</formula>
    </cfRule>
  </conditionalFormatting>
  <dataValidations count="4">
    <dataValidation sqref="G5:G180" showDropDown="0" showInputMessage="0" showErrorMessage="0" allowBlank="0" type="list">
      <formula1>"PENDING,PASS,FAIL,N/A,RETEST REQUIRED,BLOCKED"</formula1>
    </dataValidation>
    <dataValidation sqref="K5:K180" showDropDown="0" showInputMessage="0" showErrorMessage="0" allowBlank="0" type="list">
      <formula1>"Low,Medium,High,Critical"</formula1>
    </dataValidation>
    <dataValidation sqref="L5:L180" showDropDown="0" showInputMessage="0" showErrorMessage="0" allowBlank="0" type="list">
      <formula1>"Hardik,Manus,ChatGPT,Hardware,Home Assistant,LocalTuya,Firmware,Other"</formula1>
    </dataValidation>
    <dataValidation sqref="M5:N180" showDropDown="0" showInputMessage="0" showErrorMessage="0" allowBlank="0" type="list">
      <formula1>"Yes,No,N/A"</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80"/>
  <sheetViews>
    <sheetView workbookViewId="0">
      <pane ySplit="4" topLeftCell="A5" activePane="bottomLeft" state="frozen"/>
      <selection pane="bottomLeft" activeCell="A1" sqref="A1"/>
    </sheetView>
  </sheetViews>
  <sheetFormatPr baseColWidth="8" defaultRowHeight="15"/>
  <cols>
    <col width="5" customWidth="1" min="1" max="1"/>
    <col width="28" customWidth="1" min="2" max="2"/>
    <col width="16" customWidth="1" min="3" max="3"/>
    <col width="12" customWidth="1" min="4" max="4"/>
    <col width="18" customWidth="1" min="5" max="5"/>
    <col width="16" customWidth="1" min="6" max="6"/>
    <col width="18" customWidth="1" min="7" max="7"/>
    <col width="12" customWidth="1" min="8" max="8"/>
    <col width="30" customWidth="1" min="9" max="9"/>
    <col width="15" customWidth="1" min="10" max="10"/>
    <col width="22" customWidth="1" min="11" max="11"/>
    <col width="12" customWidth="1" min="12" max="12"/>
    <col width="20" customWidth="1" min="13" max="13"/>
  </cols>
  <sheetData>
    <row r="1" ht="28" customHeight="1">
      <c r="A1" s="50" t="inlineStr">
        <is>
          <t>All 20 Theme Validation</t>
        </is>
      </c>
      <c r="B1" s="51" t="n"/>
      <c r="C1" s="51" t="n"/>
      <c r="D1" s="51" t="n"/>
      <c r="E1" s="51" t="n"/>
      <c r="F1" s="51" t="n"/>
      <c r="G1" s="51" t="n"/>
      <c r="H1" s="51" t="n"/>
      <c r="I1" s="51" t="n"/>
      <c r="J1" s="51" t="n"/>
      <c r="K1" s="51" t="n"/>
      <c r="L1" s="51" t="n"/>
      <c r="M1" s="51" t="n"/>
    </row>
    <row r="2" ht="36" customHeight="1">
      <c r="A2" s="52" t="inlineStr">
        <is>
          <t>For each theme: browse to it, apply it, verify UI changes, LED ring changes, and persistence after reboot. This proves the multi-theme engine works.</t>
        </is>
      </c>
      <c r="B2" s="53" t="n"/>
      <c r="C2" s="53" t="n"/>
      <c r="D2" s="53" t="n"/>
      <c r="E2" s="53" t="n"/>
      <c r="F2" s="53" t="n"/>
      <c r="G2" s="53" t="n"/>
      <c r="H2" s="53" t="n"/>
      <c r="I2" s="53" t="n"/>
      <c r="J2" s="53" t="n"/>
      <c r="K2" s="53" t="n"/>
      <c r="L2" s="53" t="n"/>
      <c r="M2" s="53" t="n"/>
    </row>
    <row r="3">
      <c r="A3" s="61" t="n"/>
      <c r="B3" s="61" t="n"/>
      <c r="C3" s="61" t="n"/>
      <c r="D3" s="61" t="n"/>
      <c r="E3" s="61" t="n"/>
      <c r="F3" s="61" t="n"/>
      <c r="G3" s="61" t="n"/>
      <c r="H3" s="61" t="n"/>
      <c r="I3" s="61" t="n"/>
      <c r="J3" s="61" t="n"/>
      <c r="K3" s="61" t="n"/>
      <c r="L3" s="61" t="n"/>
      <c r="M3" s="61" t="n"/>
    </row>
    <row r="4" ht="36" customHeight="1">
      <c r="A4" s="42" t="inlineStr">
        <is>
          <t>#</t>
        </is>
      </c>
      <c r="B4" s="42" t="inlineStr">
        <is>
          <t>Theme</t>
        </is>
      </c>
      <c r="C4" s="42" t="inlineStr">
        <is>
          <t>Browse Reachable</t>
        </is>
      </c>
      <c r="D4" s="42" t="inlineStr">
        <is>
          <t>Applies</t>
        </is>
      </c>
      <c r="E4" s="42" t="inlineStr">
        <is>
          <t>Visible UI Change</t>
        </is>
      </c>
      <c r="F4" s="42" t="inlineStr">
        <is>
          <t>LED Ring Change</t>
        </is>
      </c>
      <c r="G4" s="42" t="inlineStr">
        <is>
          <t>Reboot Persistence</t>
        </is>
      </c>
      <c r="H4" s="42" t="inlineStr">
        <is>
          <t>Status</t>
        </is>
      </c>
      <c r="I4" s="42" t="inlineStr">
        <is>
          <t>Observation</t>
        </is>
      </c>
      <c r="J4" s="42" t="inlineStr">
        <is>
          <t>Evidence Ref</t>
        </is>
      </c>
      <c r="K4" s="42" t="inlineStr">
        <is>
          <t>Visual Refinement Needed?</t>
        </is>
      </c>
      <c r="L4" s="42" t="inlineStr">
        <is>
          <t>Severity</t>
        </is>
      </c>
      <c r="M4" s="42" t="inlineStr">
        <is>
          <t>Next Action</t>
        </is>
      </c>
    </row>
    <row r="5">
      <c r="A5" s="62" t="n">
        <v>1</v>
      </c>
      <c r="B5" s="63" t="inlineStr">
        <is>
          <t>Minimal Thermostat</t>
        </is>
      </c>
      <c r="C5" s="55" t="inlineStr">
        <is>
          <t>PENDING</t>
        </is>
      </c>
      <c r="D5" s="55" t="inlineStr">
        <is>
          <t>PENDING</t>
        </is>
      </c>
      <c r="E5" s="55" t="inlineStr">
        <is>
          <t>PENDING</t>
        </is>
      </c>
      <c r="F5" s="55" t="inlineStr">
        <is>
          <t>PENDING</t>
        </is>
      </c>
      <c r="G5" s="55" t="inlineStr">
        <is>
          <t>PENDING</t>
        </is>
      </c>
      <c r="H5" s="55" t="inlineStr">
        <is>
          <t>PENDING</t>
        </is>
      </c>
      <c r="I5" s="44" t="str"/>
      <c r="J5" s="44" t="str"/>
      <c r="K5" s="44" t="inlineStr">
        <is>
          <t>No</t>
        </is>
      </c>
      <c r="L5" s="44" t="inlineStr">
        <is>
          <t>Medium</t>
        </is>
      </c>
      <c r="M5" s="44" t="str"/>
    </row>
    <row r="6">
      <c r="A6" s="64" t="n">
        <v>2</v>
      </c>
      <c r="B6" s="65" t="inlineStr">
        <is>
          <t>SmartKnob-Inspired Arc</t>
        </is>
      </c>
      <c r="C6" s="55" t="inlineStr">
        <is>
          <t>PENDING</t>
        </is>
      </c>
      <c r="D6" s="55" t="inlineStr">
        <is>
          <t>PENDING</t>
        </is>
      </c>
      <c r="E6" s="55" t="inlineStr">
        <is>
          <t>PENDING</t>
        </is>
      </c>
      <c r="F6" s="55" t="inlineStr">
        <is>
          <t>PENDING</t>
        </is>
      </c>
      <c r="G6" s="55" t="inlineStr">
        <is>
          <t>PENDING</t>
        </is>
      </c>
      <c r="H6" s="55" t="inlineStr">
        <is>
          <t>PENDING</t>
        </is>
      </c>
      <c r="I6" s="43" t="str"/>
      <c r="J6" s="43" t="str"/>
      <c r="K6" s="43" t="inlineStr">
        <is>
          <t>No</t>
        </is>
      </c>
      <c r="L6" s="43" t="inlineStr">
        <is>
          <t>Medium</t>
        </is>
      </c>
      <c r="M6" s="43" t="str"/>
    </row>
    <row r="7">
      <c r="A7" s="62" t="n">
        <v>3</v>
      </c>
      <c r="B7" s="63" t="inlineStr">
        <is>
          <t>Large Center Power Button</t>
        </is>
      </c>
      <c r="C7" s="55" t="inlineStr">
        <is>
          <t>PENDING</t>
        </is>
      </c>
      <c r="D7" s="55" t="inlineStr">
        <is>
          <t>PENDING</t>
        </is>
      </c>
      <c r="E7" s="55" t="inlineStr">
        <is>
          <t>PENDING</t>
        </is>
      </c>
      <c r="F7" s="55" t="inlineStr">
        <is>
          <t>PENDING</t>
        </is>
      </c>
      <c r="G7" s="55" t="inlineStr">
        <is>
          <t>PENDING</t>
        </is>
      </c>
      <c r="H7" s="55" t="inlineStr">
        <is>
          <t>PENDING</t>
        </is>
      </c>
      <c r="I7" s="44" t="str"/>
      <c r="J7" s="44" t="str"/>
      <c r="K7" s="44" t="inlineStr">
        <is>
          <t>No</t>
        </is>
      </c>
      <c r="L7" s="44" t="inlineStr">
        <is>
          <t>Medium</t>
        </is>
      </c>
      <c r="M7" s="44" t="str"/>
    </row>
    <row r="8">
      <c r="A8" s="64" t="n">
        <v>4</v>
      </c>
      <c r="B8" s="65" t="inlineStr">
        <is>
          <t>Single-Page Simple Mode</t>
        </is>
      </c>
      <c r="C8" s="55" t="inlineStr">
        <is>
          <t>PENDING</t>
        </is>
      </c>
      <c r="D8" s="55" t="inlineStr">
        <is>
          <t>PENDING</t>
        </is>
      </c>
      <c r="E8" s="55" t="inlineStr">
        <is>
          <t>PENDING</t>
        </is>
      </c>
      <c r="F8" s="55" t="inlineStr">
        <is>
          <t>PENDING</t>
        </is>
      </c>
      <c r="G8" s="55" t="inlineStr">
        <is>
          <t>PENDING</t>
        </is>
      </c>
      <c r="H8" s="55" t="inlineStr">
        <is>
          <t>PENDING</t>
        </is>
      </c>
      <c r="I8" s="43" t="str"/>
      <c r="J8" s="43" t="str"/>
      <c r="K8" s="43" t="inlineStr">
        <is>
          <t>No</t>
        </is>
      </c>
      <c r="L8" s="43" t="inlineStr">
        <is>
          <t>Medium</t>
        </is>
      </c>
      <c r="M8" s="43" t="str"/>
    </row>
    <row r="9">
      <c r="A9" s="62" t="n">
        <v>5</v>
      </c>
      <c r="B9" s="63" t="inlineStr">
        <is>
          <t>Preset Ring UI</t>
        </is>
      </c>
      <c r="C9" s="55" t="inlineStr">
        <is>
          <t>PENDING</t>
        </is>
      </c>
      <c r="D9" s="55" t="inlineStr">
        <is>
          <t>PENDING</t>
        </is>
      </c>
      <c r="E9" s="55" t="inlineStr">
        <is>
          <t>PENDING</t>
        </is>
      </c>
      <c r="F9" s="55" t="inlineStr">
        <is>
          <t>PENDING</t>
        </is>
      </c>
      <c r="G9" s="55" t="inlineStr">
        <is>
          <t>PENDING</t>
        </is>
      </c>
      <c r="H9" s="55" t="inlineStr">
        <is>
          <t>PENDING</t>
        </is>
      </c>
      <c r="I9" s="44" t="str"/>
      <c r="J9" s="44" t="str"/>
      <c r="K9" s="44" t="inlineStr">
        <is>
          <t>No</t>
        </is>
      </c>
      <c r="L9" s="44" t="inlineStr">
        <is>
          <t>Medium</t>
        </is>
      </c>
      <c r="M9" s="44" t="str"/>
    </row>
    <row r="10">
      <c r="A10" s="64" t="n">
        <v>6</v>
      </c>
      <c r="B10" s="65" t="inlineStr">
        <is>
          <t>Night Mode Ultra-Minimal</t>
        </is>
      </c>
      <c r="C10" s="55" t="inlineStr">
        <is>
          <t>PENDING</t>
        </is>
      </c>
      <c r="D10" s="55" t="inlineStr">
        <is>
          <t>PENDING</t>
        </is>
      </c>
      <c r="E10" s="55" t="inlineStr">
        <is>
          <t>PENDING</t>
        </is>
      </c>
      <c r="F10" s="55" t="inlineStr">
        <is>
          <t>PENDING</t>
        </is>
      </c>
      <c r="G10" s="55" t="inlineStr">
        <is>
          <t>PENDING</t>
        </is>
      </c>
      <c r="H10" s="55" t="inlineStr">
        <is>
          <t>PENDING</t>
        </is>
      </c>
      <c r="I10" s="43" t="str"/>
      <c r="J10" s="43" t="str"/>
      <c r="K10" s="43" t="inlineStr">
        <is>
          <t>No</t>
        </is>
      </c>
      <c r="L10" s="43" t="inlineStr">
        <is>
          <t>Medium</t>
        </is>
      </c>
      <c r="M10" s="43" t="str"/>
    </row>
    <row r="11">
      <c r="A11" s="62" t="n">
        <v>7</v>
      </c>
      <c r="B11" s="63" t="inlineStr">
        <is>
          <t>Text-First Utility</t>
        </is>
      </c>
      <c r="C11" s="55" t="inlineStr">
        <is>
          <t>PENDING</t>
        </is>
      </c>
      <c r="D11" s="55" t="inlineStr">
        <is>
          <t>PENDING</t>
        </is>
      </c>
      <c r="E11" s="55" t="inlineStr">
        <is>
          <t>PENDING</t>
        </is>
      </c>
      <c r="F11" s="55" t="inlineStr">
        <is>
          <t>PENDING</t>
        </is>
      </c>
      <c r="G11" s="55" t="inlineStr">
        <is>
          <t>PENDING</t>
        </is>
      </c>
      <c r="H11" s="55" t="inlineStr">
        <is>
          <t>PENDING</t>
        </is>
      </c>
      <c r="I11" s="44" t="str"/>
      <c r="J11" s="44" t="str"/>
      <c r="K11" s="44" t="inlineStr">
        <is>
          <t>No</t>
        </is>
      </c>
      <c r="L11" s="44" t="inlineStr">
        <is>
          <t>Medium</t>
        </is>
      </c>
      <c r="M11" s="44" t="str"/>
    </row>
    <row r="12">
      <c r="A12" s="64" t="n">
        <v>8</v>
      </c>
      <c r="B12" s="65" t="inlineStr">
        <is>
          <t>Apple Watch Complications</t>
        </is>
      </c>
      <c r="C12" s="55" t="inlineStr">
        <is>
          <t>PENDING</t>
        </is>
      </c>
      <c r="D12" s="55" t="inlineStr">
        <is>
          <t>PENDING</t>
        </is>
      </c>
      <c r="E12" s="55" t="inlineStr">
        <is>
          <t>PENDING</t>
        </is>
      </c>
      <c r="F12" s="55" t="inlineStr">
        <is>
          <t>PENDING</t>
        </is>
      </c>
      <c r="G12" s="55" t="inlineStr">
        <is>
          <t>PENDING</t>
        </is>
      </c>
      <c r="H12" s="55" t="inlineStr">
        <is>
          <t>PENDING</t>
        </is>
      </c>
      <c r="I12" s="43" t="str"/>
      <c r="J12" s="43" t="str"/>
      <c r="K12" s="43" t="inlineStr">
        <is>
          <t>No</t>
        </is>
      </c>
      <c r="L12" s="43" t="inlineStr">
        <is>
          <t>Medium</t>
        </is>
      </c>
      <c r="M12" s="43" t="str"/>
    </row>
    <row r="13">
      <c r="A13" s="62" t="n">
        <v>9</v>
      </c>
      <c r="B13" s="63" t="inlineStr">
        <is>
          <t>LED-Ring Status-First</t>
        </is>
      </c>
      <c r="C13" s="55" t="inlineStr">
        <is>
          <t>PENDING</t>
        </is>
      </c>
      <c r="D13" s="55" t="inlineStr">
        <is>
          <t>PENDING</t>
        </is>
      </c>
      <c r="E13" s="55" t="inlineStr">
        <is>
          <t>PENDING</t>
        </is>
      </c>
      <c r="F13" s="55" t="inlineStr">
        <is>
          <t>PENDING</t>
        </is>
      </c>
      <c r="G13" s="55" t="inlineStr">
        <is>
          <t>PENDING</t>
        </is>
      </c>
      <c r="H13" s="55" t="inlineStr">
        <is>
          <t>PENDING</t>
        </is>
      </c>
      <c r="I13" s="44" t="str"/>
      <c r="J13" s="44" t="str"/>
      <c r="K13" s="44" t="inlineStr">
        <is>
          <t>No</t>
        </is>
      </c>
      <c r="L13" s="44" t="inlineStr">
        <is>
          <t>Medium</t>
        </is>
      </c>
      <c r="M13" s="44" t="str"/>
    </row>
    <row r="14">
      <c r="A14" s="64" t="n">
        <v>10</v>
      </c>
      <c r="B14" s="65" t="inlineStr">
        <is>
          <t>Three-Screen Tab Carousel</t>
        </is>
      </c>
      <c r="C14" s="55" t="inlineStr">
        <is>
          <t>PENDING</t>
        </is>
      </c>
      <c r="D14" s="55" t="inlineStr">
        <is>
          <t>PENDING</t>
        </is>
      </c>
      <c r="E14" s="55" t="inlineStr">
        <is>
          <t>PENDING</t>
        </is>
      </c>
      <c r="F14" s="55" t="inlineStr">
        <is>
          <t>PENDING</t>
        </is>
      </c>
      <c r="G14" s="55" t="inlineStr">
        <is>
          <t>PENDING</t>
        </is>
      </c>
      <c r="H14" s="55" t="inlineStr">
        <is>
          <t>PENDING</t>
        </is>
      </c>
      <c r="I14" s="43" t="str"/>
      <c r="J14" s="43" t="str"/>
      <c r="K14" s="43" t="inlineStr">
        <is>
          <t>No</t>
        </is>
      </c>
      <c r="L14" s="43" t="inlineStr">
        <is>
          <t>Medium</t>
        </is>
      </c>
      <c r="M14" s="43" t="str"/>
    </row>
    <row r="15">
      <c r="A15" s="62" t="n">
        <v>11</v>
      </c>
      <c r="B15" s="63" t="inlineStr">
        <is>
          <t>Brightness-First UI</t>
        </is>
      </c>
      <c r="C15" s="55" t="inlineStr">
        <is>
          <t>PENDING</t>
        </is>
      </c>
      <c r="D15" s="55" t="inlineStr">
        <is>
          <t>PENDING</t>
        </is>
      </c>
      <c r="E15" s="55" t="inlineStr">
        <is>
          <t>PENDING</t>
        </is>
      </c>
      <c r="F15" s="55" t="inlineStr">
        <is>
          <t>PENDING</t>
        </is>
      </c>
      <c r="G15" s="55" t="inlineStr">
        <is>
          <t>PENDING</t>
        </is>
      </c>
      <c r="H15" s="55" t="inlineStr">
        <is>
          <t>PENDING</t>
        </is>
      </c>
      <c r="I15" s="44" t="str"/>
      <c r="J15" s="44" t="str"/>
      <c r="K15" s="44" t="inlineStr">
        <is>
          <t>No</t>
        </is>
      </c>
      <c r="L15" s="44" t="inlineStr">
        <is>
          <t>Medium</t>
        </is>
      </c>
      <c r="M15" s="44" t="str"/>
    </row>
    <row r="16">
      <c r="A16" s="64" t="n">
        <v>12</v>
      </c>
      <c r="B16" s="65" t="inlineStr">
        <is>
          <t>Door Switch Replacement</t>
        </is>
      </c>
      <c r="C16" s="55" t="inlineStr">
        <is>
          <t>PENDING</t>
        </is>
      </c>
      <c r="D16" s="55" t="inlineStr">
        <is>
          <t>PENDING</t>
        </is>
      </c>
      <c r="E16" s="55" t="inlineStr">
        <is>
          <t>PENDING</t>
        </is>
      </c>
      <c r="F16" s="55" t="inlineStr">
        <is>
          <t>PENDING</t>
        </is>
      </c>
      <c r="G16" s="55" t="inlineStr">
        <is>
          <t>PENDING</t>
        </is>
      </c>
      <c r="H16" s="55" t="inlineStr">
        <is>
          <t>PENDING</t>
        </is>
      </c>
      <c r="I16" s="43" t="str"/>
      <c r="J16" s="43" t="str"/>
      <c r="K16" s="43" t="inlineStr">
        <is>
          <t>No</t>
        </is>
      </c>
      <c r="L16" s="43" t="inlineStr">
        <is>
          <t>Medium</t>
        </is>
      </c>
      <c r="M16" s="43" t="str"/>
    </row>
    <row r="17">
      <c r="A17" s="62" t="n">
        <v>13</v>
      </c>
      <c r="B17" s="63" t="inlineStr">
        <is>
          <t>Lunar Phase Visualization</t>
        </is>
      </c>
      <c r="C17" s="55" t="inlineStr">
        <is>
          <t>PENDING</t>
        </is>
      </c>
      <c r="D17" s="55" t="inlineStr">
        <is>
          <t>PENDING</t>
        </is>
      </c>
      <c r="E17" s="55" t="inlineStr">
        <is>
          <t>PENDING</t>
        </is>
      </c>
      <c r="F17" s="55" t="inlineStr">
        <is>
          <t>PENDING</t>
        </is>
      </c>
      <c r="G17" s="55" t="inlineStr">
        <is>
          <t>PENDING</t>
        </is>
      </c>
      <c r="H17" s="55" t="inlineStr">
        <is>
          <t>PENDING</t>
        </is>
      </c>
      <c r="I17" s="44" t="str"/>
      <c r="J17" s="44" t="str"/>
      <c r="K17" s="44" t="inlineStr">
        <is>
          <t>No</t>
        </is>
      </c>
      <c r="L17" s="44" t="inlineStr">
        <is>
          <t>Medium</t>
        </is>
      </c>
      <c r="M17" s="44" t="str"/>
    </row>
    <row r="18">
      <c r="A18" s="64" t="n">
        <v>14</v>
      </c>
      <c r="B18" s="65" t="inlineStr">
        <is>
          <t>Sundial Shadow UI</t>
        </is>
      </c>
      <c r="C18" s="55" t="inlineStr">
        <is>
          <t>PENDING</t>
        </is>
      </c>
      <c r="D18" s="55" t="inlineStr">
        <is>
          <t>PENDING</t>
        </is>
      </c>
      <c r="E18" s="55" t="inlineStr">
        <is>
          <t>PENDING</t>
        </is>
      </c>
      <c r="F18" s="55" t="inlineStr">
        <is>
          <t>PENDING</t>
        </is>
      </c>
      <c r="G18" s="55" t="inlineStr">
        <is>
          <t>PENDING</t>
        </is>
      </c>
      <c r="H18" s="55" t="inlineStr">
        <is>
          <t>PENDING</t>
        </is>
      </c>
      <c r="I18" s="43" t="str"/>
      <c r="J18" s="43" t="str"/>
      <c r="K18" s="43" t="inlineStr">
        <is>
          <t>No</t>
        </is>
      </c>
      <c r="L18" s="43" t="inlineStr">
        <is>
          <t>Medium</t>
        </is>
      </c>
      <c r="M18" s="43" t="str"/>
    </row>
    <row r="19">
      <c r="A19" s="62" t="n">
        <v>15</v>
      </c>
      <c r="B19" s="63" t="inlineStr">
        <is>
          <t>Tree Ring Growth Pattern</t>
        </is>
      </c>
      <c r="C19" s="55" t="inlineStr">
        <is>
          <t>PENDING</t>
        </is>
      </c>
      <c r="D19" s="55" t="inlineStr">
        <is>
          <t>PENDING</t>
        </is>
      </c>
      <c r="E19" s="55" t="inlineStr">
        <is>
          <t>PENDING</t>
        </is>
      </c>
      <c r="F19" s="55" t="inlineStr">
        <is>
          <t>PENDING</t>
        </is>
      </c>
      <c r="G19" s="55" t="inlineStr">
        <is>
          <t>PENDING</t>
        </is>
      </c>
      <c r="H19" s="55" t="inlineStr">
        <is>
          <t>PENDING</t>
        </is>
      </c>
      <c r="I19" s="44" t="str"/>
      <c r="J19" s="44" t="str"/>
      <c r="K19" s="44" t="inlineStr">
        <is>
          <t>No</t>
        </is>
      </c>
      <c r="L19" s="44" t="inlineStr">
        <is>
          <t>Medium</t>
        </is>
      </c>
      <c r="M19" s="44" t="str"/>
    </row>
    <row r="20">
      <c r="A20" s="64" t="n">
        <v>16</v>
      </c>
      <c r="B20" s="65" t="inlineStr">
        <is>
          <t>Topographic Contour Map</t>
        </is>
      </c>
      <c r="C20" s="55" t="inlineStr">
        <is>
          <t>PENDING</t>
        </is>
      </c>
      <c r="D20" s="55" t="inlineStr">
        <is>
          <t>PENDING</t>
        </is>
      </c>
      <c r="E20" s="55" t="inlineStr">
        <is>
          <t>PENDING</t>
        </is>
      </c>
      <c r="F20" s="55" t="inlineStr">
        <is>
          <t>PENDING</t>
        </is>
      </c>
      <c r="G20" s="55" t="inlineStr">
        <is>
          <t>PENDING</t>
        </is>
      </c>
      <c r="H20" s="55" t="inlineStr">
        <is>
          <t>PENDING</t>
        </is>
      </c>
      <c r="I20" s="43" t="str"/>
      <c r="J20" s="43" t="str"/>
      <c r="K20" s="43" t="inlineStr">
        <is>
          <t>No</t>
        </is>
      </c>
      <c r="L20" s="43" t="inlineStr">
        <is>
          <t>Medium</t>
        </is>
      </c>
      <c r="M20" s="43" t="str"/>
    </row>
    <row r="21">
      <c r="A21" s="62" t="n">
        <v>17</v>
      </c>
      <c r="B21" s="63" t="inlineStr">
        <is>
          <t>Iris Aperture Mechanism</t>
        </is>
      </c>
      <c r="C21" s="55" t="inlineStr">
        <is>
          <t>PENDING</t>
        </is>
      </c>
      <c r="D21" s="55" t="inlineStr">
        <is>
          <t>PENDING</t>
        </is>
      </c>
      <c r="E21" s="55" t="inlineStr">
        <is>
          <t>PENDING</t>
        </is>
      </c>
      <c r="F21" s="55" t="inlineStr">
        <is>
          <t>PENDING</t>
        </is>
      </c>
      <c r="G21" s="55" t="inlineStr">
        <is>
          <t>PENDING</t>
        </is>
      </c>
      <c r="H21" s="55" t="inlineStr">
        <is>
          <t>PENDING</t>
        </is>
      </c>
      <c r="I21" s="44" t="str"/>
      <c r="J21" s="44" t="str"/>
      <c r="K21" s="44" t="inlineStr">
        <is>
          <t>No</t>
        </is>
      </c>
      <c r="L21" s="44" t="inlineStr">
        <is>
          <t>Medium</t>
        </is>
      </c>
      <c r="M21" s="44" t="str"/>
    </row>
    <row r="22">
      <c r="A22" s="64" t="n">
        <v>18</v>
      </c>
      <c r="B22" s="65" t="inlineStr">
        <is>
          <t>Radar Sweep Animation</t>
        </is>
      </c>
      <c r="C22" s="55" t="inlineStr">
        <is>
          <t>PENDING</t>
        </is>
      </c>
      <c r="D22" s="55" t="inlineStr">
        <is>
          <t>PENDING</t>
        </is>
      </c>
      <c r="E22" s="55" t="inlineStr">
        <is>
          <t>PENDING</t>
        </is>
      </c>
      <c r="F22" s="55" t="inlineStr">
        <is>
          <t>PENDING</t>
        </is>
      </c>
      <c r="G22" s="55" t="inlineStr">
        <is>
          <t>PENDING</t>
        </is>
      </c>
      <c r="H22" s="55" t="inlineStr">
        <is>
          <t>PENDING</t>
        </is>
      </c>
      <c r="I22" s="43" t="str"/>
      <c r="J22" s="43" t="str"/>
      <c r="K22" s="43" t="inlineStr">
        <is>
          <t>No</t>
        </is>
      </c>
      <c r="L22" s="43" t="inlineStr">
        <is>
          <t>Medium</t>
        </is>
      </c>
      <c r="M22" s="43" t="str"/>
    </row>
    <row r="23">
      <c r="A23" s="62" t="n">
        <v>19</v>
      </c>
      <c r="B23" s="63" t="inlineStr">
        <is>
          <t>Vinyl DJ Crossfader</t>
        </is>
      </c>
      <c r="C23" s="55" t="inlineStr">
        <is>
          <t>PENDING</t>
        </is>
      </c>
      <c r="D23" s="55" t="inlineStr">
        <is>
          <t>PENDING</t>
        </is>
      </c>
      <c r="E23" s="55" t="inlineStr">
        <is>
          <t>PENDING</t>
        </is>
      </c>
      <c r="F23" s="55" t="inlineStr">
        <is>
          <t>PENDING</t>
        </is>
      </c>
      <c r="G23" s="55" t="inlineStr">
        <is>
          <t>PENDING</t>
        </is>
      </c>
      <c r="H23" s="55" t="inlineStr">
        <is>
          <t>PENDING</t>
        </is>
      </c>
      <c r="I23" s="44" t="str"/>
      <c r="J23" s="44" t="str"/>
      <c r="K23" s="44" t="inlineStr">
        <is>
          <t>No</t>
        </is>
      </c>
      <c r="L23" s="44" t="inlineStr">
        <is>
          <t>Medium</t>
        </is>
      </c>
      <c r="M23" s="44" t="str"/>
    </row>
    <row r="24">
      <c r="A24" s="64" t="n">
        <v>20</v>
      </c>
      <c r="B24" s="65" t="inlineStr">
        <is>
          <t>Eclipse Corona</t>
        </is>
      </c>
      <c r="C24" s="55" t="inlineStr">
        <is>
          <t>PENDING</t>
        </is>
      </c>
      <c r="D24" s="55" t="inlineStr">
        <is>
          <t>PENDING</t>
        </is>
      </c>
      <c r="E24" s="55" t="inlineStr">
        <is>
          <t>PENDING</t>
        </is>
      </c>
      <c r="F24" s="55" t="inlineStr">
        <is>
          <t>PENDING</t>
        </is>
      </c>
      <c r="G24" s="55" t="inlineStr">
        <is>
          <t>PENDING</t>
        </is>
      </c>
      <c r="H24" s="55" t="inlineStr">
        <is>
          <t>PENDING</t>
        </is>
      </c>
      <c r="I24" s="43" t="str"/>
      <c r="J24" s="43" t="str"/>
      <c r="K24" s="43" t="inlineStr">
        <is>
          <t>No</t>
        </is>
      </c>
      <c r="L24" s="43" t="inlineStr">
        <is>
          <t>Medium</t>
        </is>
      </c>
      <c r="M24" s="43" t="str"/>
    </row>
    <row r="25">
      <c r="A25" s="19" t="n"/>
      <c r="B25" s="19" t="n"/>
      <c r="C25" s="19" t="n"/>
      <c r="D25" s="19" t="n"/>
      <c r="E25" s="19" t="n"/>
      <c r="F25" s="19" t="n"/>
      <c r="G25" s="19" t="n"/>
      <c r="H25" s="19" t="n"/>
      <c r="I25" s="19" t="n"/>
      <c r="J25" s="19" t="n"/>
      <c r="K25" s="19" t="n"/>
      <c r="L25" s="19" t="n"/>
      <c r="M25" s="19" t="n"/>
    </row>
    <row r="26">
      <c r="A26" s="19" t="n"/>
      <c r="B26" s="19" t="n"/>
      <c r="C26" s="19" t="n"/>
      <c r="D26" s="19" t="n"/>
      <c r="E26" s="19" t="n"/>
      <c r="F26" s="19" t="n"/>
      <c r="G26" s="19" t="n"/>
      <c r="H26" s="19" t="n"/>
      <c r="I26" s="19" t="n"/>
      <c r="J26" s="19" t="n"/>
      <c r="K26" s="19" t="n"/>
      <c r="L26" s="19" t="n"/>
      <c r="M26" s="19" t="n"/>
    </row>
    <row r="27">
      <c r="A27" s="19" t="n"/>
      <c r="B27" s="19" t="n"/>
      <c r="C27" s="19" t="n"/>
      <c r="D27" s="19" t="n"/>
      <c r="E27" s="19" t="n"/>
      <c r="F27" s="19" t="n"/>
      <c r="G27" s="19" t="n"/>
      <c r="H27" s="19" t="n"/>
      <c r="I27" s="19" t="n"/>
      <c r="J27" s="19" t="n"/>
      <c r="K27" s="19" t="n"/>
      <c r="L27" s="19" t="n"/>
      <c r="M27" s="19" t="n"/>
    </row>
    <row r="28">
      <c r="A28" s="19" t="n"/>
      <c r="B28" s="19" t="n"/>
      <c r="C28" s="19" t="n"/>
      <c r="D28" s="19" t="n"/>
      <c r="E28" s="19" t="n"/>
      <c r="F28" s="19" t="n"/>
      <c r="G28" s="19" t="n"/>
      <c r="H28" s="19" t="n"/>
      <c r="I28" s="19" t="n"/>
      <c r="J28" s="19" t="n"/>
      <c r="K28" s="19" t="n"/>
      <c r="L28" s="19" t="n"/>
      <c r="M28" s="19" t="n"/>
    </row>
    <row r="29">
      <c r="A29" s="19" t="n"/>
      <c r="B29" s="19" t="n"/>
      <c r="C29" s="19" t="n"/>
      <c r="D29" s="19" t="n"/>
      <c r="E29" s="19" t="n"/>
      <c r="F29" s="19" t="n"/>
      <c r="G29" s="19" t="n"/>
      <c r="H29" s="19" t="n"/>
      <c r="I29" s="19" t="n"/>
      <c r="J29" s="19" t="n"/>
      <c r="K29" s="19" t="n"/>
      <c r="L29" s="19" t="n"/>
      <c r="M29" s="19" t="n"/>
    </row>
    <row r="30">
      <c r="A30" s="19" t="n"/>
      <c r="B30" s="19" t="n"/>
      <c r="C30" s="19" t="n"/>
      <c r="D30" s="19" t="n"/>
      <c r="E30" s="19" t="n"/>
      <c r="F30" s="19" t="n"/>
      <c r="G30" s="19" t="n"/>
      <c r="H30" s="19" t="n"/>
      <c r="I30" s="19" t="n"/>
      <c r="J30" s="19" t="n"/>
      <c r="K30" s="19" t="n"/>
      <c r="L30" s="19" t="n"/>
      <c r="M30" s="19" t="n"/>
    </row>
    <row r="31">
      <c r="A31" s="19" t="n"/>
      <c r="B31" s="19" t="n"/>
      <c r="C31" s="19" t="n"/>
      <c r="D31" s="19" t="n"/>
      <c r="E31" s="19" t="n"/>
      <c r="F31" s="19" t="n"/>
      <c r="G31" s="19" t="n"/>
      <c r="H31" s="19" t="n"/>
      <c r="I31" s="19" t="n"/>
      <c r="J31" s="19" t="n"/>
      <c r="K31" s="19" t="n"/>
      <c r="L31" s="19" t="n"/>
      <c r="M31" s="19" t="n"/>
    </row>
    <row r="32">
      <c r="A32" s="19" t="n"/>
      <c r="B32" s="19" t="n"/>
      <c r="C32" s="19" t="n"/>
      <c r="D32" s="19" t="n"/>
      <c r="E32" s="19" t="n"/>
      <c r="F32" s="19" t="n"/>
      <c r="G32" s="19" t="n"/>
      <c r="H32" s="19" t="n"/>
      <c r="I32" s="19" t="n"/>
      <c r="J32" s="19" t="n"/>
      <c r="K32" s="19" t="n"/>
      <c r="L32" s="19" t="n"/>
      <c r="M32" s="19" t="n"/>
    </row>
    <row r="33">
      <c r="A33" s="19" t="n"/>
      <c r="B33" s="19" t="n"/>
      <c r="C33" s="19" t="n"/>
      <c r="D33" s="19" t="n"/>
      <c r="E33" s="19" t="n"/>
      <c r="F33" s="19" t="n"/>
      <c r="G33" s="19" t="n"/>
      <c r="H33" s="19" t="n"/>
      <c r="I33" s="19" t="n"/>
      <c r="J33" s="19" t="n"/>
      <c r="K33" s="19" t="n"/>
      <c r="L33" s="19" t="n"/>
      <c r="M33" s="19" t="n"/>
    </row>
    <row r="34">
      <c r="A34" s="19" t="n"/>
      <c r="B34" s="19" t="n"/>
      <c r="C34" s="19" t="n"/>
      <c r="D34" s="19" t="n"/>
      <c r="E34" s="19" t="n"/>
      <c r="F34" s="19" t="n"/>
      <c r="G34" s="19" t="n"/>
      <c r="H34" s="19" t="n"/>
      <c r="I34" s="19" t="n"/>
      <c r="J34" s="19" t="n"/>
      <c r="K34" s="19" t="n"/>
      <c r="L34" s="19" t="n"/>
      <c r="M34" s="19" t="n"/>
    </row>
    <row r="35">
      <c r="A35" s="19" t="n"/>
      <c r="B35" s="19" t="n"/>
      <c r="C35" s="19" t="n"/>
      <c r="D35" s="19" t="n"/>
      <c r="E35" s="19" t="n"/>
      <c r="F35" s="19" t="n"/>
      <c r="G35" s="19" t="n"/>
      <c r="H35" s="19" t="n"/>
      <c r="I35" s="19" t="n"/>
      <c r="J35" s="19" t="n"/>
      <c r="K35" s="19" t="n"/>
      <c r="L35" s="19" t="n"/>
      <c r="M35" s="19" t="n"/>
    </row>
    <row r="36">
      <c r="A36" s="19" t="n"/>
      <c r="B36" s="19" t="n"/>
      <c r="C36" s="19" t="n"/>
      <c r="D36" s="19" t="n"/>
      <c r="E36" s="19" t="n"/>
      <c r="F36" s="19" t="n"/>
      <c r="G36" s="19" t="n"/>
      <c r="H36" s="19" t="n"/>
      <c r="I36" s="19" t="n"/>
      <c r="J36" s="19" t="n"/>
      <c r="K36" s="19" t="n"/>
      <c r="L36" s="19" t="n"/>
      <c r="M36" s="19" t="n"/>
    </row>
    <row r="37">
      <c r="A37" s="19" t="n"/>
      <c r="B37" s="19" t="n"/>
      <c r="C37" s="19" t="n"/>
      <c r="D37" s="19" t="n"/>
      <c r="E37" s="19" t="n"/>
      <c r="F37" s="19" t="n"/>
      <c r="G37" s="19" t="n"/>
      <c r="H37" s="19" t="n"/>
      <c r="I37" s="19" t="n"/>
      <c r="J37" s="19" t="n"/>
      <c r="K37" s="19" t="n"/>
      <c r="L37" s="19" t="n"/>
      <c r="M37" s="19" t="n"/>
    </row>
    <row r="38">
      <c r="A38" s="19" t="n"/>
      <c r="B38" s="19" t="n"/>
      <c r="C38" s="19" t="n"/>
      <c r="D38" s="19" t="n"/>
      <c r="E38" s="19" t="n"/>
      <c r="F38" s="19" t="n"/>
      <c r="G38" s="19" t="n"/>
      <c r="H38" s="19" t="n"/>
      <c r="I38" s="19" t="n"/>
      <c r="J38" s="19" t="n"/>
      <c r="K38" s="19" t="n"/>
      <c r="L38" s="19" t="n"/>
      <c r="M38" s="19" t="n"/>
    </row>
    <row r="39">
      <c r="A39" s="19" t="n"/>
      <c r="B39" s="19" t="n"/>
      <c r="C39" s="19" t="n"/>
      <c r="D39" s="19" t="n"/>
      <c r="E39" s="19" t="n"/>
      <c r="F39" s="19" t="n"/>
      <c r="G39" s="19" t="n"/>
      <c r="H39" s="19" t="n"/>
      <c r="I39" s="19" t="n"/>
      <c r="J39" s="19" t="n"/>
      <c r="K39" s="19" t="n"/>
      <c r="L39" s="19" t="n"/>
      <c r="M39" s="19" t="n"/>
    </row>
    <row r="40">
      <c r="A40" s="19" t="n"/>
      <c r="B40" s="19" t="n"/>
      <c r="C40" s="19" t="n"/>
      <c r="D40" s="19" t="n"/>
      <c r="E40" s="19" t="n"/>
      <c r="F40" s="19" t="n"/>
      <c r="G40" s="19" t="n"/>
      <c r="H40" s="19" t="n"/>
      <c r="I40" s="19" t="n"/>
      <c r="J40" s="19" t="n"/>
      <c r="K40" s="19" t="n"/>
      <c r="L40" s="19" t="n"/>
      <c r="M40" s="19" t="n"/>
    </row>
    <row r="41">
      <c r="A41" s="19" t="n"/>
      <c r="B41" s="19" t="n"/>
      <c r="C41" s="19" t="n"/>
      <c r="D41" s="19" t="n"/>
      <c r="E41" s="19" t="n"/>
      <c r="F41" s="19" t="n"/>
      <c r="G41" s="19" t="n"/>
      <c r="H41" s="19" t="n"/>
      <c r="I41" s="19" t="n"/>
      <c r="J41" s="19" t="n"/>
      <c r="K41" s="19" t="n"/>
      <c r="L41" s="19" t="n"/>
      <c r="M41" s="19" t="n"/>
    </row>
    <row r="42">
      <c r="A42" s="19" t="n"/>
      <c r="B42" s="19" t="n"/>
      <c r="C42" s="19" t="n"/>
      <c r="D42" s="19" t="n"/>
      <c r="E42" s="19" t="n"/>
      <c r="F42" s="19" t="n"/>
      <c r="G42" s="19" t="n"/>
      <c r="H42" s="19" t="n"/>
      <c r="I42" s="19" t="n"/>
      <c r="J42" s="19" t="n"/>
      <c r="K42" s="19" t="n"/>
      <c r="L42" s="19" t="n"/>
      <c r="M42" s="19" t="n"/>
    </row>
    <row r="43">
      <c r="A43" s="19" t="n"/>
      <c r="B43" s="19" t="n"/>
      <c r="C43" s="19" t="n"/>
      <c r="D43" s="19" t="n"/>
      <c r="E43" s="19" t="n"/>
      <c r="F43" s="19" t="n"/>
      <c r="G43" s="19" t="n"/>
      <c r="H43" s="19" t="n"/>
      <c r="I43" s="19" t="n"/>
      <c r="J43" s="19" t="n"/>
      <c r="K43" s="19" t="n"/>
      <c r="L43" s="19" t="n"/>
      <c r="M43" s="19" t="n"/>
    </row>
    <row r="44">
      <c r="A44" s="19" t="n"/>
      <c r="B44" s="19" t="n"/>
      <c r="C44" s="19" t="n"/>
      <c r="D44" s="19" t="n"/>
      <c r="E44" s="19" t="n"/>
      <c r="F44" s="19" t="n"/>
      <c r="G44" s="19" t="n"/>
      <c r="H44" s="19" t="n"/>
      <c r="I44" s="19" t="n"/>
      <c r="J44" s="19" t="n"/>
      <c r="K44" s="19" t="n"/>
      <c r="L44" s="19" t="n"/>
      <c r="M44" s="19" t="n"/>
    </row>
    <row r="45">
      <c r="A45" s="19" t="n"/>
      <c r="B45" s="19" t="n"/>
      <c r="C45" s="19" t="n"/>
      <c r="D45" s="19" t="n"/>
      <c r="E45" s="19" t="n"/>
      <c r="F45" s="19" t="n"/>
      <c r="G45" s="19" t="n"/>
      <c r="H45" s="19" t="n"/>
      <c r="I45" s="19" t="n"/>
      <c r="J45" s="19" t="n"/>
      <c r="K45" s="19" t="n"/>
      <c r="L45" s="19" t="n"/>
      <c r="M45" s="19" t="n"/>
    </row>
    <row r="46">
      <c r="A46" s="19" t="n"/>
      <c r="B46" s="19" t="n"/>
      <c r="C46" s="19" t="n"/>
      <c r="D46" s="19" t="n"/>
      <c r="E46" s="19" t="n"/>
      <c r="F46" s="19" t="n"/>
      <c r="G46" s="19" t="n"/>
      <c r="H46" s="19" t="n"/>
      <c r="I46" s="19" t="n"/>
      <c r="J46" s="19" t="n"/>
      <c r="K46" s="19" t="n"/>
      <c r="L46" s="19" t="n"/>
      <c r="M46" s="19" t="n"/>
    </row>
    <row r="47">
      <c r="A47" s="19" t="n"/>
      <c r="B47" s="19" t="n"/>
      <c r="C47" s="19" t="n"/>
      <c r="D47" s="19" t="n"/>
      <c r="E47" s="19" t="n"/>
      <c r="F47" s="19" t="n"/>
      <c r="G47" s="19" t="n"/>
      <c r="H47" s="19" t="n"/>
      <c r="I47" s="19" t="n"/>
      <c r="J47" s="19" t="n"/>
      <c r="K47" s="19" t="n"/>
      <c r="L47" s="19" t="n"/>
      <c r="M47" s="19" t="n"/>
    </row>
    <row r="48">
      <c r="A48" s="19" t="n"/>
      <c r="B48" s="19" t="n"/>
      <c r="C48" s="19" t="n"/>
      <c r="D48" s="19" t="n"/>
      <c r="E48" s="19" t="n"/>
      <c r="F48" s="19" t="n"/>
      <c r="G48" s="19" t="n"/>
      <c r="H48" s="19" t="n"/>
      <c r="I48" s="19" t="n"/>
      <c r="J48" s="19" t="n"/>
      <c r="K48" s="19" t="n"/>
      <c r="L48" s="19" t="n"/>
      <c r="M48" s="19" t="n"/>
    </row>
    <row r="49">
      <c r="A49" s="19" t="n"/>
      <c r="B49" s="19" t="n"/>
      <c r="C49" s="19" t="n"/>
      <c r="D49" s="19" t="n"/>
      <c r="E49" s="19" t="n"/>
      <c r="F49" s="19" t="n"/>
      <c r="G49" s="19" t="n"/>
      <c r="H49" s="19" t="n"/>
      <c r="I49" s="19" t="n"/>
      <c r="J49" s="19" t="n"/>
      <c r="K49" s="19" t="n"/>
      <c r="L49" s="19" t="n"/>
      <c r="M49" s="19" t="n"/>
    </row>
    <row r="50">
      <c r="A50" s="19" t="n"/>
      <c r="B50" s="19" t="n"/>
      <c r="C50" s="19" t="n"/>
      <c r="D50" s="19" t="n"/>
      <c r="E50" s="19" t="n"/>
      <c r="F50" s="19" t="n"/>
      <c r="G50" s="19" t="n"/>
      <c r="H50" s="19" t="n"/>
      <c r="I50" s="19" t="n"/>
      <c r="J50" s="19" t="n"/>
      <c r="K50" s="19" t="n"/>
      <c r="L50" s="19" t="n"/>
      <c r="M50" s="19" t="n"/>
    </row>
    <row r="51">
      <c r="A51" s="19" t="n"/>
      <c r="B51" s="19" t="n"/>
      <c r="C51" s="19" t="n"/>
      <c r="D51" s="19" t="n"/>
      <c r="E51" s="19" t="n"/>
      <c r="F51" s="19" t="n"/>
      <c r="G51" s="19" t="n"/>
      <c r="H51" s="19" t="n"/>
      <c r="I51" s="19" t="n"/>
      <c r="J51" s="19" t="n"/>
      <c r="K51" s="19" t="n"/>
      <c r="L51" s="19" t="n"/>
      <c r="M51" s="19" t="n"/>
    </row>
    <row r="52">
      <c r="A52" s="19" t="n"/>
      <c r="B52" s="19" t="n"/>
      <c r="C52" s="19" t="n"/>
      <c r="D52" s="19" t="n"/>
      <c r="E52" s="19" t="n"/>
      <c r="F52" s="19" t="n"/>
      <c r="G52" s="19" t="n"/>
      <c r="H52" s="19" t="n"/>
      <c r="I52" s="19" t="n"/>
      <c r="J52" s="19" t="n"/>
      <c r="K52" s="19" t="n"/>
      <c r="L52" s="19" t="n"/>
      <c r="M52" s="19" t="n"/>
    </row>
    <row r="53">
      <c r="A53" s="19" t="n"/>
      <c r="B53" s="19" t="n"/>
      <c r="C53" s="19" t="n"/>
      <c r="D53" s="19" t="n"/>
      <c r="E53" s="19" t="n"/>
      <c r="F53" s="19" t="n"/>
      <c r="G53" s="19" t="n"/>
      <c r="H53" s="19" t="n"/>
      <c r="I53" s="19" t="n"/>
      <c r="J53" s="19" t="n"/>
      <c r="K53" s="19" t="n"/>
      <c r="L53" s="19" t="n"/>
      <c r="M53" s="19" t="n"/>
    </row>
    <row r="54">
      <c r="A54" s="19" t="n"/>
      <c r="B54" s="19" t="n"/>
      <c r="C54" s="19" t="n"/>
      <c r="D54" s="19" t="n"/>
      <c r="E54" s="19" t="n"/>
      <c r="F54" s="19" t="n"/>
      <c r="G54" s="19" t="n"/>
      <c r="H54" s="19" t="n"/>
      <c r="I54" s="19" t="n"/>
      <c r="J54" s="19" t="n"/>
      <c r="K54" s="19" t="n"/>
      <c r="L54" s="19" t="n"/>
      <c r="M54" s="19" t="n"/>
    </row>
    <row r="55">
      <c r="A55" s="19" t="n"/>
      <c r="B55" s="19" t="n"/>
      <c r="C55" s="19" t="n"/>
      <c r="D55" s="19" t="n"/>
      <c r="E55" s="19" t="n"/>
      <c r="F55" s="19" t="n"/>
      <c r="G55" s="19" t="n"/>
      <c r="H55" s="19" t="n"/>
      <c r="I55" s="19" t="n"/>
      <c r="J55" s="19" t="n"/>
      <c r="K55" s="19" t="n"/>
      <c r="L55" s="19" t="n"/>
      <c r="M55" s="19" t="n"/>
    </row>
    <row r="56">
      <c r="A56" s="19" t="n"/>
      <c r="B56" s="19" t="n"/>
      <c r="C56" s="19" t="n"/>
      <c r="D56" s="19" t="n"/>
      <c r="E56" s="19" t="n"/>
      <c r="F56" s="19" t="n"/>
      <c r="G56" s="19" t="n"/>
      <c r="H56" s="19" t="n"/>
      <c r="I56" s="19" t="n"/>
      <c r="J56" s="19" t="n"/>
      <c r="K56" s="19" t="n"/>
      <c r="L56" s="19" t="n"/>
      <c r="M56" s="19" t="n"/>
    </row>
    <row r="57">
      <c r="A57" s="19" t="n"/>
      <c r="B57" s="19" t="n"/>
      <c r="C57" s="19" t="n"/>
      <c r="D57" s="19" t="n"/>
      <c r="E57" s="19" t="n"/>
      <c r="F57" s="19" t="n"/>
      <c r="G57" s="19" t="n"/>
      <c r="H57" s="19" t="n"/>
      <c r="I57" s="19" t="n"/>
      <c r="J57" s="19" t="n"/>
      <c r="K57" s="19" t="n"/>
      <c r="L57" s="19" t="n"/>
      <c r="M57" s="19" t="n"/>
    </row>
    <row r="58">
      <c r="A58" s="19" t="n"/>
      <c r="B58" s="19" t="n"/>
      <c r="C58" s="19" t="n"/>
      <c r="D58" s="19" t="n"/>
      <c r="E58" s="19" t="n"/>
      <c r="F58" s="19" t="n"/>
      <c r="G58" s="19" t="n"/>
      <c r="H58" s="19" t="n"/>
      <c r="I58" s="19" t="n"/>
      <c r="J58" s="19" t="n"/>
      <c r="K58" s="19" t="n"/>
      <c r="L58" s="19" t="n"/>
      <c r="M58" s="19" t="n"/>
    </row>
    <row r="59">
      <c r="A59" s="19" t="n"/>
      <c r="B59" s="19" t="n"/>
      <c r="C59" s="19" t="n"/>
      <c r="D59" s="19" t="n"/>
      <c r="E59" s="19" t="n"/>
      <c r="F59" s="19" t="n"/>
      <c r="G59" s="19" t="n"/>
      <c r="H59" s="19" t="n"/>
      <c r="I59" s="19" t="n"/>
      <c r="J59" s="19" t="n"/>
      <c r="K59" s="19" t="n"/>
      <c r="L59" s="19" t="n"/>
      <c r="M59" s="19" t="n"/>
    </row>
    <row r="60">
      <c r="A60" s="19" t="n"/>
      <c r="B60" s="19" t="n"/>
      <c r="C60" s="19" t="n"/>
      <c r="D60" s="19" t="n"/>
      <c r="E60" s="19" t="n"/>
      <c r="F60" s="19" t="n"/>
      <c r="G60" s="19" t="n"/>
      <c r="H60" s="19" t="n"/>
      <c r="I60" s="19" t="n"/>
      <c r="J60" s="19" t="n"/>
      <c r="K60" s="19" t="n"/>
      <c r="L60" s="19" t="n"/>
      <c r="M60" s="19" t="n"/>
    </row>
    <row r="61">
      <c r="A61" s="19" t="n"/>
      <c r="B61" s="19" t="n"/>
      <c r="C61" s="19" t="n"/>
      <c r="D61" s="19" t="n"/>
      <c r="E61" s="19" t="n"/>
      <c r="F61" s="19" t="n"/>
      <c r="G61" s="19" t="n"/>
      <c r="H61" s="19" t="n"/>
      <c r="I61" s="19" t="n"/>
      <c r="J61" s="19" t="n"/>
      <c r="K61" s="19" t="n"/>
      <c r="L61" s="19" t="n"/>
      <c r="M61" s="19" t="n"/>
    </row>
    <row r="62">
      <c r="A62" s="19" t="n"/>
      <c r="B62" s="19" t="n"/>
      <c r="C62" s="19" t="n"/>
      <c r="D62" s="19" t="n"/>
      <c r="E62" s="19" t="n"/>
      <c r="F62" s="19" t="n"/>
      <c r="G62" s="19" t="n"/>
      <c r="H62" s="19" t="n"/>
      <c r="I62" s="19" t="n"/>
      <c r="J62" s="19" t="n"/>
      <c r="K62" s="19" t="n"/>
      <c r="L62" s="19" t="n"/>
      <c r="M62" s="19" t="n"/>
    </row>
    <row r="63">
      <c r="A63" s="19" t="n"/>
      <c r="B63" s="19" t="n"/>
      <c r="C63" s="19" t="n"/>
      <c r="D63" s="19" t="n"/>
      <c r="E63" s="19" t="n"/>
      <c r="F63" s="19" t="n"/>
      <c r="G63" s="19" t="n"/>
      <c r="H63" s="19" t="n"/>
      <c r="I63" s="19" t="n"/>
      <c r="J63" s="19" t="n"/>
      <c r="K63" s="19" t="n"/>
      <c r="L63" s="19" t="n"/>
      <c r="M63" s="19" t="n"/>
    </row>
    <row r="64">
      <c r="A64" s="19" t="n"/>
      <c r="B64" s="19" t="n"/>
      <c r="C64" s="19" t="n"/>
      <c r="D64" s="19" t="n"/>
      <c r="E64" s="19" t="n"/>
      <c r="F64" s="19" t="n"/>
      <c r="G64" s="19" t="n"/>
      <c r="H64" s="19" t="n"/>
      <c r="I64" s="19" t="n"/>
      <c r="J64" s="19" t="n"/>
      <c r="K64" s="19" t="n"/>
      <c r="L64" s="19" t="n"/>
      <c r="M64" s="19" t="n"/>
    </row>
    <row r="65">
      <c r="A65" s="19" t="n"/>
      <c r="B65" s="19" t="n"/>
      <c r="C65" s="19" t="n"/>
      <c r="D65" s="19" t="n"/>
      <c r="E65" s="19" t="n"/>
      <c r="F65" s="19" t="n"/>
      <c r="G65" s="19" t="n"/>
      <c r="H65" s="19" t="n"/>
      <c r="I65" s="19" t="n"/>
      <c r="J65" s="19" t="n"/>
      <c r="K65" s="19" t="n"/>
      <c r="L65" s="19" t="n"/>
      <c r="M65" s="19" t="n"/>
    </row>
    <row r="66">
      <c r="A66" s="19" t="n"/>
      <c r="B66" s="19" t="n"/>
      <c r="C66" s="19" t="n"/>
      <c r="D66" s="19" t="n"/>
      <c r="E66" s="19" t="n"/>
      <c r="F66" s="19" t="n"/>
      <c r="G66" s="19" t="n"/>
      <c r="H66" s="19" t="n"/>
      <c r="I66" s="19" t="n"/>
      <c r="J66" s="19" t="n"/>
      <c r="K66" s="19" t="n"/>
      <c r="L66" s="19" t="n"/>
      <c r="M66" s="19" t="n"/>
    </row>
    <row r="67">
      <c r="A67" s="19" t="n"/>
      <c r="B67" s="19" t="n"/>
      <c r="C67" s="19" t="n"/>
      <c r="D67" s="19" t="n"/>
      <c r="E67" s="19" t="n"/>
      <c r="F67" s="19" t="n"/>
      <c r="G67" s="19" t="n"/>
      <c r="H67" s="19" t="n"/>
      <c r="I67" s="19" t="n"/>
      <c r="J67" s="19" t="n"/>
      <c r="K67" s="19" t="n"/>
      <c r="L67" s="19" t="n"/>
      <c r="M67" s="19" t="n"/>
    </row>
    <row r="68">
      <c r="A68" s="19" t="n"/>
      <c r="B68" s="19" t="n"/>
      <c r="C68" s="19" t="n"/>
      <c r="D68" s="19" t="n"/>
      <c r="E68" s="19" t="n"/>
      <c r="F68" s="19" t="n"/>
      <c r="G68" s="19" t="n"/>
      <c r="H68" s="19" t="n"/>
      <c r="I68" s="19" t="n"/>
      <c r="J68" s="19" t="n"/>
      <c r="K68" s="19" t="n"/>
      <c r="L68" s="19" t="n"/>
      <c r="M68" s="19" t="n"/>
    </row>
    <row r="69">
      <c r="A69" s="19" t="n"/>
      <c r="B69" s="19" t="n"/>
      <c r="C69" s="19" t="n"/>
      <c r="D69" s="19" t="n"/>
      <c r="E69" s="19" t="n"/>
      <c r="F69" s="19" t="n"/>
      <c r="G69" s="19" t="n"/>
      <c r="H69" s="19" t="n"/>
      <c r="I69" s="19" t="n"/>
      <c r="J69" s="19" t="n"/>
      <c r="K69" s="19" t="n"/>
      <c r="L69" s="19" t="n"/>
      <c r="M69" s="19" t="n"/>
    </row>
    <row r="70">
      <c r="A70" s="19" t="n"/>
      <c r="B70" s="19" t="n"/>
      <c r="C70" s="19" t="n"/>
      <c r="D70" s="19" t="n"/>
      <c r="E70" s="19" t="n"/>
      <c r="F70" s="19" t="n"/>
      <c r="G70" s="19" t="n"/>
      <c r="H70" s="19" t="n"/>
      <c r="I70" s="19" t="n"/>
      <c r="J70" s="19" t="n"/>
      <c r="K70" s="19" t="n"/>
      <c r="L70" s="19" t="n"/>
      <c r="M70" s="19" t="n"/>
    </row>
    <row r="71">
      <c r="A71" s="19" t="n"/>
      <c r="B71" s="19" t="n"/>
      <c r="C71" s="19" t="n"/>
      <c r="D71" s="19" t="n"/>
      <c r="E71" s="19" t="n"/>
      <c r="F71" s="19" t="n"/>
      <c r="G71" s="19" t="n"/>
      <c r="H71" s="19" t="n"/>
      <c r="I71" s="19" t="n"/>
      <c r="J71" s="19" t="n"/>
      <c r="K71" s="19" t="n"/>
      <c r="L71" s="19" t="n"/>
      <c r="M71" s="19" t="n"/>
    </row>
    <row r="72">
      <c r="A72" s="19" t="n"/>
      <c r="B72" s="19" t="n"/>
      <c r="C72" s="19" t="n"/>
      <c r="D72" s="19" t="n"/>
      <c r="E72" s="19" t="n"/>
      <c r="F72" s="19" t="n"/>
      <c r="G72" s="19" t="n"/>
      <c r="H72" s="19" t="n"/>
      <c r="I72" s="19" t="n"/>
      <c r="J72" s="19" t="n"/>
      <c r="K72" s="19" t="n"/>
      <c r="L72" s="19" t="n"/>
      <c r="M72" s="19" t="n"/>
    </row>
    <row r="73">
      <c r="A73" s="19" t="n"/>
      <c r="B73" s="19" t="n"/>
      <c r="C73" s="19" t="n"/>
      <c r="D73" s="19" t="n"/>
      <c r="E73" s="19" t="n"/>
      <c r="F73" s="19" t="n"/>
      <c r="G73" s="19" t="n"/>
      <c r="H73" s="19" t="n"/>
      <c r="I73" s="19" t="n"/>
      <c r="J73" s="19" t="n"/>
      <c r="K73" s="19" t="n"/>
      <c r="L73" s="19" t="n"/>
      <c r="M73" s="19" t="n"/>
    </row>
    <row r="74">
      <c r="A74" s="19" t="n"/>
      <c r="B74" s="19" t="n"/>
      <c r="C74" s="19" t="n"/>
      <c r="D74" s="19" t="n"/>
      <c r="E74" s="19" t="n"/>
      <c r="F74" s="19" t="n"/>
      <c r="G74" s="19" t="n"/>
      <c r="H74" s="19" t="n"/>
      <c r="I74" s="19" t="n"/>
      <c r="J74" s="19" t="n"/>
      <c r="K74" s="19" t="n"/>
      <c r="L74" s="19" t="n"/>
      <c r="M74" s="19" t="n"/>
    </row>
    <row r="75">
      <c r="A75" s="19" t="n"/>
      <c r="B75" s="19" t="n"/>
      <c r="C75" s="19" t="n"/>
      <c r="D75" s="19" t="n"/>
      <c r="E75" s="19" t="n"/>
      <c r="F75" s="19" t="n"/>
      <c r="G75" s="19" t="n"/>
      <c r="H75" s="19" t="n"/>
      <c r="I75" s="19" t="n"/>
      <c r="J75" s="19" t="n"/>
      <c r="K75" s="19" t="n"/>
      <c r="L75" s="19" t="n"/>
      <c r="M75" s="19" t="n"/>
    </row>
    <row r="76">
      <c r="A76" s="19" t="n"/>
      <c r="B76" s="19" t="n"/>
      <c r="C76" s="19" t="n"/>
      <c r="D76" s="19" t="n"/>
      <c r="E76" s="19" t="n"/>
      <c r="F76" s="19" t="n"/>
      <c r="G76" s="19" t="n"/>
      <c r="H76" s="19" t="n"/>
      <c r="I76" s="19" t="n"/>
      <c r="J76" s="19" t="n"/>
      <c r="K76" s="19" t="n"/>
      <c r="L76" s="19" t="n"/>
      <c r="M76" s="19" t="n"/>
    </row>
    <row r="77">
      <c r="A77" s="19" t="n"/>
      <c r="B77" s="19" t="n"/>
      <c r="C77" s="19" t="n"/>
      <c r="D77" s="19" t="n"/>
      <c r="E77" s="19" t="n"/>
      <c r="F77" s="19" t="n"/>
      <c r="G77" s="19" t="n"/>
      <c r="H77" s="19" t="n"/>
      <c r="I77" s="19" t="n"/>
      <c r="J77" s="19" t="n"/>
      <c r="K77" s="19" t="n"/>
      <c r="L77" s="19" t="n"/>
      <c r="M77" s="19" t="n"/>
    </row>
    <row r="78">
      <c r="A78" s="19" t="n"/>
      <c r="B78" s="19" t="n"/>
      <c r="C78" s="19" t="n"/>
      <c r="D78" s="19" t="n"/>
      <c r="E78" s="19" t="n"/>
      <c r="F78" s="19" t="n"/>
      <c r="G78" s="19" t="n"/>
      <c r="H78" s="19" t="n"/>
      <c r="I78" s="19" t="n"/>
      <c r="J78" s="19" t="n"/>
      <c r="K78" s="19" t="n"/>
      <c r="L78" s="19" t="n"/>
      <c r="M78" s="19" t="n"/>
    </row>
    <row r="79">
      <c r="A79" s="19" t="n"/>
      <c r="B79" s="19" t="n"/>
      <c r="C79" s="19" t="n"/>
      <c r="D79" s="19" t="n"/>
      <c r="E79" s="19" t="n"/>
      <c r="F79" s="19" t="n"/>
      <c r="G79" s="19" t="n"/>
      <c r="H79" s="19" t="n"/>
      <c r="I79" s="19" t="n"/>
      <c r="J79" s="19" t="n"/>
      <c r="K79" s="19" t="n"/>
      <c r="L79" s="19" t="n"/>
      <c r="M79" s="19" t="n"/>
    </row>
    <row r="80">
      <c r="A80" s="19" t="n"/>
      <c r="B80" s="19" t="n"/>
      <c r="C80" s="19" t="n"/>
      <c r="D80" s="19" t="n"/>
      <c r="E80" s="19" t="n"/>
      <c r="F80" s="19" t="n"/>
      <c r="G80" s="19" t="n"/>
      <c r="H80" s="19" t="n"/>
      <c r="I80" s="19" t="n"/>
      <c r="J80" s="19" t="n"/>
      <c r="K80" s="19" t="n"/>
      <c r="L80" s="19" t="n"/>
      <c r="M80" s="19" t="n"/>
    </row>
  </sheetData>
  <mergeCells count="2">
    <mergeCell ref="A2:M2"/>
    <mergeCell ref="A1:M1"/>
  </mergeCells>
  <conditionalFormatting sqref="H5:H80">
    <cfRule type="expression" priority="1" dxfId="0">
      <formula>H5="PASS"</formula>
    </cfRule>
    <cfRule type="expression" priority="2" dxfId="1">
      <formula>H5="FAIL"</formula>
    </cfRule>
    <cfRule type="expression" priority="3" dxfId="4">
      <formula>H5="PENDING"</formula>
    </cfRule>
    <cfRule type="expression" priority="4" dxfId="2">
      <formula>H5="RETEST REQUIRED"</formula>
    </cfRule>
  </conditionalFormatting>
  <dataValidations count="3">
    <dataValidation sqref="C5:H80" showDropDown="0" showInputMessage="0" showErrorMessage="0" allowBlank="0" type="list">
      <formula1>"PENDING,PASS,FAIL,N/A,RETEST REQUIRED,BLOCKED"</formula1>
    </dataValidation>
    <dataValidation sqref="K5:K80" showDropDown="0" showInputMessage="0" showErrorMessage="0" allowBlank="0" type="list">
      <formula1>"Yes,No,N/A"</formula1>
    </dataValidation>
    <dataValidation sqref="L5:L80" showDropDown="0" showInputMessage="0" showErrorMessage="0" allowBlank="0" type="list">
      <formula1>"Low,Medium,High,Critical"</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O140"/>
  <sheetViews>
    <sheetView workbookViewId="0">
      <pane ySplit="4" topLeftCell="A5" activePane="bottomLeft" state="frozen"/>
      <selection pane="bottomLeft" activeCell="A1" sqref="A1"/>
    </sheetView>
  </sheetViews>
  <sheetFormatPr baseColWidth="8" defaultRowHeight="15"/>
  <cols>
    <col width="14" customWidth="1" min="1" max="1"/>
    <col width="25" customWidth="1" min="2" max="2"/>
    <col width="10" customWidth="1" min="3" max="3"/>
    <col width="27" customWidth="1" min="4" max="4"/>
    <col width="40" customWidth="1" min="5" max="5"/>
    <col width="40" customWidth="1" min="6" max="6"/>
    <col width="9" customWidth="1" min="7" max="7"/>
    <col width="15" customWidth="1" min="8" max="8"/>
    <col width="13" customWidth="1" min="9" max="9"/>
    <col width="14" customWidth="1" min="10" max="10"/>
    <col width="10" customWidth="1" min="11" max="11"/>
    <col width="16" customWidth="1" min="12" max="12"/>
    <col width="11" customWidth="1" min="13" max="13"/>
    <col width="16" customWidth="1" min="14" max="14"/>
    <col width="13" customWidth="1" min="15" max="15"/>
  </cols>
  <sheetData>
    <row r="1" ht="28" customHeight="1">
      <c r="A1" s="50" t="inlineStr">
        <is>
          <t>Stage 5 — Bedside ESP32-C6 Flashing</t>
        </is>
      </c>
      <c r="B1" s="51" t="n"/>
      <c r="C1" s="51" t="n"/>
      <c r="D1" s="51" t="n"/>
      <c r="E1" s="51" t="n"/>
      <c r="F1" s="51" t="n"/>
      <c r="G1" s="51" t="n"/>
      <c r="H1" s="51" t="n"/>
      <c r="I1" s="51" t="n"/>
      <c r="J1" s="51" t="n"/>
      <c r="K1" s="51" t="n"/>
      <c r="L1" s="51" t="n"/>
      <c r="M1" s="51" t="n"/>
      <c r="N1" s="51" t="n"/>
      <c r="O1" s="51" t="n"/>
    </row>
    <row r="2" ht="36" customHeight="1">
      <c r="A2" s="52" t="inlineStr">
        <is>
          <t>Compile, flash, boot, network, and APDS detection checks.</t>
        </is>
      </c>
      <c r="B2" s="53" t="n"/>
      <c r="C2" s="53" t="n"/>
      <c r="D2" s="53" t="n"/>
      <c r="E2" s="53" t="n"/>
      <c r="F2" s="53" t="n"/>
      <c r="G2" s="53" t="n"/>
      <c r="H2" s="53" t="n"/>
      <c r="I2" s="53" t="n"/>
      <c r="J2" s="53" t="n"/>
      <c r="K2" s="53" t="n"/>
      <c r="L2" s="53" t="n"/>
      <c r="M2" s="53" t="n"/>
      <c r="N2" s="53" t="n"/>
      <c r="O2" s="53" t="n"/>
    </row>
    <row r="4" ht="36" customHeight="1">
      <c r="A4" s="42" t="inlineStr">
        <is>
          <t>Step ID</t>
        </is>
      </c>
      <c r="B4" s="42" t="inlineStr">
        <is>
          <t>Stage</t>
        </is>
      </c>
      <c r="C4" s="42" t="inlineStr">
        <is>
          <t>Category</t>
        </is>
      </c>
      <c r="D4" s="42" t="inlineStr">
        <is>
          <t>Step / Test</t>
        </is>
      </c>
      <c r="E4" s="42" t="inlineStr">
        <is>
          <t>Command / Action</t>
        </is>
      </c>
      <c r="F4" s="42" t="inlineStr">
        <is>
          <t>Expected Result</t>
        </is>
      </c>
      <c r="G4" s="42" t="inlineStr">
        <is>
          <t>Status</t>
        </is>
      </c>
      <c r="H4" s="42" t="inlineStr">
        <is>
          <t>Actual Result</t>
        </is>
      </c>
      <c r="I4" s="42" t="inlineStr">
        <is>
          <t>Observation</t>
        </is>
      </c>
      <c r="J4" s="42" t="inlineStr">
        <is>
          <t>Evidence Ref</t>
        </is>
      </c>
      <c r="K4" s="42" t="inlineStr">
        <is>
          <t>Severity</t>
        </is>
      </c>
      <c r="L4" s="42" t="inlineStr">
        <is>
          <t>Owner</t>
        </is>
      </c>
      <c r="M4" s="42" t="inlineStr">
        <is>
          <t>Blocking?</t>
        </is>
      </c>
      <c r="N4" s="42" t="inlineStr">
        <is>
          <t>AI Fix Needed?</t>
        </is>
      </c>
      <c r="O4" s="42" t="inlineStr">
        <is>
          <t>Next Action</t>
        </is>
      </c>
    </row>
    <row r="5">
      <c r="A5" s="54" t="inlineStr">
        <is>
          <t>BED-FLASH-01</t>
        </is>
      </c>
      <c r="B5" s="44" t="inlineStr">
        <is>
          <t>Stage 5 — Bedside Flash</t>
        </is>
      </c>
      <c r="C5" s="44" t="inlineStr">
        <is>
          <t>Wiring</t>
        </is>
      </c>
      <c r="D5" s="44" t="inlineStr">
        <is>
          <t>Confirm APDS wiring</t>
        </is>
      </c>
      <c r="E5" s="44" t="inlineStr">
        <is>
          <t>Inspect STEMMA/Qwiic or SDA/SCL wiring</t>
        </is>
      </c>
      <c r="F5" s="44" t="inlineStr">
        <is>
          <t>APDS-9960 wiring correct</t>
        </is>
      </c>
      <c r="G5" s="55" t="inlineStr">
        <is>
          <t>PENDING</t>
        </is>
      </c>
      <c r="H5" s="44" t="str"/>
      <c r="I5" s="44" t="str"/>
      <c r="J5" s="44" t="str"/>
      <c r="K5" s="60" t="inlineStr">
        <is>
          <t>Critical</t>
        </is>
      </c>
      <c r="L5" s="44" t="inlineStr">
        <is>
          <t>Hardware</t>
        </is>
      </c>
      <c r="M5" s="44" t="inlineStr">
        <is>
          <t>Yes</t>
        </is>
      </c>
      <c r="N5" s="44" t="inlineStr">
        <is>
          <t>No</t>
        </is>
      </c>
      <c r="O5" s="44" t="str"/>
    </row>
    <row r="6">
      <c r="A6" s="57" t="inlineStr">
        <is>
          <t>BED-FLASH-02</t>
        </is>
      </c>
      <c r="B6" s="43" t="inlineStr">
        <is>
          <t>Stage 5 — Bedside Flash</t>
        </is>
      </c>
      <c r="C6" s="43" t="inlineStr">
        <is>
          <t>Compile</t>
        </is>
      </c>
      <c r="D6" s="43" t="inlineStr">
        <is>
          <t>Compile bedside firmware</t>
        </is>
      </c>
      <c r="E6" s="43" t="inlineStr">
        <is>
          <t>esphome compile esphome/bedside_gesture.yaml</t>
        </is>
      </c>
      <c r="F6" s="43" t="inlineStr">
        <is>
          <t>Compile PASS</t>
        </is>
      </c>
      <c r="G6" s="55" t="inlineStr">
        <is>
          <t>PENDING</t>
        </is>
      </c>
      <c r="H6" s="43" t="str"/>
      <c r="I6" s="43" t="str"/>
      <c r="J6" s="43" t="str"/>
      <c r="K6" s="59" t="inlineStr">
        <is>
          <t>Critical</t>
        </is>
      </c>
      <c r="L6" s="43" t="inlineStr">
        <is>
          <t>Firmware</t>
        </is>
      </c>
      <c r="M6" s="43" t="inlineStr">
        <is>
          <t>Yes</t>
        </is>
      </c>
      <c r="N6" s="43" t="inlineStr">
        <is>
          <t>No</t>
        </is>
      </c>
      <c r="O6" s="43" t="str"/>
    </row>
    <row r="7">
      <c r="A7" s="54" t="inlineStr">
        <is>
          <t>BED-FLASH-03</t>
        </is>
      </c>
      <c r="B7" s="44" t="inlineStr">
        <is>
          <t>Stage 5 — Bedside Flash</t>
        </is>
      </c>
      <c r="C7" s="44" t="inlineStr">
        <is>
          <t>Flash</t>
        </is>
      </c>
      <c r="D7" s="44" t="inlineStr">
        <is>
          <t>Flash bedside firmware</t>
        </is>
      </c>
      <c r="E7" s="44" t="inlineStr">
        <is>
          <t>esphome run esphome/bedside_gesture.yaml</t>
        </is>
      </c>
      <c r="F7" s="44" t="inlineStr">
        <is>
          <t>Upload completes and board reboots</t>
        </is>
      </c>
      <c r="G7" s="55" t="inlineStr">
        <is>
          <t>PENDING</t>
        </is>
      </c>
      <c r="H7" s="44" t="str"/>
      <c r="I7" s="44" t="str"/>
      <c r="J7" s="44" t="str"/>
      <c r="K7" s="60" t="inlineStr">
        <is>
          <t>Critical</t>
        </is>
      </c>
      <c r="L7" s="44" t="inlineStr">
        <is>
          <t>Firmware</t>
        </is>
      </c>
      <c r="M7" s="44" t="inlineStr">
        <is>
          <t>Yes</t>
        </is>
      </c>
      <c r="N7" s="44" t="inlineStr">
        <is>
          <t>No</t>
        </is>
      </c>
      <c r="O7" s="44" t="str"/>
    </row>
    <row r="8">
      <c r="A8" s="57" t="inlineStr">
        <is>
          <t>BED-FLASH-04</t>
        </is>
      </c>
      <c r="B8" s="43" t="inlineStr">
        <is>
          <t>Stage 5 — Bedside Flash</t>
        </is>
      </c>
      <c r="C8" s="43" t="inlineStr">
        <is>
          <t>Boot</t>
        </is>
      </c>
      <c r="D8" s="43" t="inlineStr">
        <is>
          <t>Inspect serial logs</t>
        </is>
      </c>
      <c r="E8" s="43" t="inlineStr">
        <is>
          <t>Keep logs open after boot</t>
        </is>
      </c>
      <c r="F8" s="43" t="inlineStr">
        <is>
          <t>No bootloop/panic/I2C failure</t>
        </is>
      </c>
      <c r="G8" s="55" t="inlineStr">
        <is>
          <t>PENDING</t>
        </is>
      </c>
      <c r="H8" s="43" t="str"/>
      <c r="I8" s="43" t="str"/>
      <c r="J8" s="43" t="str"/>
      <c r="K8" s="59" t="inlineStr">
        <is>
          <t>Critical</t>
        </is>
      </c>
      <c r="L8" s="43" t="inlineStr">
        <is>
          <t>Firmware</t>
        </is>
      </c>
      <c r="M8" s="43" t="inlineStr">
        <is>
          <t>Yes</t>
        </is>
      </c>
      <c r="N8" s="43" t="inlineStr">
        <is>
          <t>No</t>
        </is>
      </c>
      <c r="O8" s="43" t="str"/>
    </row>
    <row r="9">
      <c r="A9" s="54" t="inlineStr">
        <is>
          <t>BED-FLASH-05</t>
        </is>
      </c>
      <c r="B9" s="44" t="inlineStr">
        <is>
          <t>Stage 5 — Bedside Flash</t>
        </is>
      </c>
      <c r="C9" s="44" t="inlineStr">
        <is>
          <t>Network</t>
        </is>
      </c>
      <c r="D9" s="44" t="inlineStr">
        <is>
          <t>Confirm HA API connection</t>
        </is>
      </c>
      <c r="E9" s="44" t="inlineStr">
        <is>
          <t>Check HA/ESPHome dashboard</t>
        </is>
      </c>
      <c r="F9" s="44" t="inlineStr">
        <is>
          <t>Bedside appears online</t>
        </is>
      </c>
      <c r="G9" s="55" t="inlineStr">
        <is>
          <t>PENDING</t>
        </is>
      </c>
      <c r="H9" s="44" t="str"/>
      <c r="I9" s="44" t="str"/>
      <c r="J9" s="44" t="str"/>
      <c r="K9" s="60" t="inlineStr">
        <is>
          <t>Critical</t>
        </is>
      </c>
      <c r="L9" s="44" t="inlineStr">
        <is>
          <t>Home Assistant</t>
        </is>
      </c>
      <c r="M9" s="44" t="inlineStr">
        <is>
          <t>Yes</t>
        </is>
      </c>
      <c r="N9" s="44" t="inlineStr">
        <is>
          <t>No</t>
        </is>
      </c>
      <c r="O9" s="44" t="str"/>
    </row>
    <row r="10">
      <c r="A10" s="57" t="inlineStr">
        <is>
          <t>BED-FLASH-06</t>
        </is>
      </c>
      <c r="B10" s="43" t="inlineStr">
        <is>
          <t>Stage 5 — Bedside Flash</t>
        </is>
      </c>
      <c r="C10" s="43" t="inlineStr">
        <is>
          <t>Sensor</t>
        </is>
      </c>
      <c r="D10" s="43" t="inlineStr">
        <is>
          <t>Confirm APDS detected</t>
        </is>
      </c>
      <c r="E10" s="43" t="inlineStr">
        <is>
          <t>Review logs/entities</t>
        </is>
      </c>
      <c r="F10" s="43" t="inlineStr">
        <is>
          <t>APDS-9960 detected, no I2C init errors</t>
        </is>
      </c>
      <c r="G10" s="55" t="inlineStr">
        <is>
          <t>PENDING</t>
        </is>
      </c>
      <c r="H10" s="43" t="str"/>
      <c r="I10" s="43" t="str"/>
      <c r="J10" s="43" t="str"/>
      <c r="K10" s="59" t="inlineStr">
        <is>
          <t>Critical</t>
        </is>
      </c>
      <c r="L10" s="43" t="inlineStr">
        <is>
          <t>Hardware</t>
        </is>
      </c>
      <c r="M10" s="43" t="inlineStr">
        <is>
          <t>Yes</t>
        </is>
      </c>
      <c r="N10" s="43" t="inlineStr">
        <is>
          <t>No</t>
        </is>
      </c>
      <c r="O10" s="43" t="str"/>
    </row>
    <row r="11">
      <c r="A11" s="32" t="n"/>
      <c r="B11" s="32" t="n"/>
      <c r="C11" s="32" t="n"/>
      <c r="D11" s="32" t="n"/>
      <c r="E11" s="32" t="n"/>
      <c r="F11" s="32" t="n"/>
      <c r="G11" s="32" t="n"/>
      <c r="H11" s="32" t="n"/>
      <c r="I11" s="32" t="n"/>
      <c r="J11" s="32" t="n"/>
      <c r="K11" s="32" t="n"/>
      <c r="L11" s="32" t="n"/>
      <c r="M11" s="32" t="n"/>
      <c r="N11" s="32" t="n"/>
      <c r="O11" s="32" t="n"/>
    </row>
    <row r="12">
      <c r="A12" s="32" t="n"/>
      <c r="B12" s="32" t="n"/>
      <c r="C12" s="32" t="n"/>
      <c r="D12" s="32" t="n"/>
      <c r="E12" s="32" t="n"/>
      <c r="F12" s="32" t="n"/>
      <c r="G12" s="32" t="n"/>
      <c r="H12" s="32" t="n"/>
      <c r="I12" s="32" t="n"/>
      <c r="J12" s="32" t="n"/>
      <c r="K12" s="32" t="n"/>
      <c r="L12" s="32" t="n"/>
      <c r="M12" s="32" t="n"/>
      <c r="N12" s="32" t="n"/>
      <c r="O12" s="32" t="n"/>
    </row>
    <row r="13">
      <c r="A13" s="32" t="n"/>
      <c r="B13" s="32" t="n"/>
      <c r="C13" s="32" t="n"/>
      <c r="D13" s="32" t="n"/>
      <c r="E13" s="32" t="n"/>
      <c r="F13" s="32" t="n"/>
      <c r="G13" s="32" t="n"/>
      <c r="H13" s="32" t="n"/>
      <c r="I13" s="32" t="n"/>
      <c r="J13" s="32" t="n"/>
      <c r="K13" s="32" t="n"/>
      <c r="L13" s="32" t="n"/>
      <c r="M13" s="32" t="n"/>
      <c r="N13" s="32" t="n"/>
      <c r="O13" s="32" t="n"/>
    </row>
    <row r="14">
      <c r="A14" s="32" t="n"/>
      <c r="B14" s="32" t="n"/>
      <c r="C14" s="32" t="n"/>
      <c r="D14" s="32" t="n"/>
      <c r="E14" s="32" t="n"/>
      <c r="F14" s="32" t="n"/>
      <c r="G14" s="32" t="n"/>
      <c r="H14" s="32" t="n"/>
      <c r="I14" s="32" t="n"/>
      <c r="J14" s="32" t="n"/>
      <c r="K14" s="32" t="n"/>
      <c r="L14" s="32" t="n"/>
      <c r="M14" s="32" t="n"/>
      <c r="N14" s="32" t="n"/>
      <c r="O14" s="32" t="n"/>
    </row>
    <row r="15">
      <c r="A15" s="32" t="n"/>
      <c r="B15" s="32" t="n"/>
      <c r="C15" s="32" t="n"/>
      <c r="D15" s="32" t="n"/>
      <c r="E15" s="32" t="n"/>
      <c r="F15" s="32" t="n"/>
      <c r="G15" s="32" t="n"/>
      <c r="H15" s="32" t="n"/>
      <c r="I15" s="32" t="n"/>
      <c r="J15" s="32" t="n"/>
      <c r="K15" s="32" t="n"/>
      <c r="L15" s="32" t="n"/>
      <c r="M15" s="32" t="n"/>
      <c r="N15" s="32" t="n"/>
      <c r="O15" s="32" t="n"/>
    </row>
    <row r="16">
      <c r="A16" s="32" t="n"/>
      <c r="B16" s="32" t="n"/>
      <c r="C16" s="32" t="n"/>
      <c r="D16" s="32" t="n"/>
      <c r="E16" s="32" t="n"/>
      <c r="F16" s="32" t="n"/>
      <c r="G16" s="32" t="n"/>
      <c r="H16" s="32" t="n"/>
      <c r="I16" s="32" t="n"/>
      <c r="J16" s="32" t="n"/>
      <c r="K16" s="32" t="n"/>
      <c r="L16" s="32" t="n"/>
      <c r="M16" s="32" t="n"/>
      <c r="N16" s="32" t="n"/>
      <c r="O16" s="32" t="n"/>
    </row>
    <row r="17">
      <c r="A17" s="32" t="n"/>
      <c r="B17" s="32" t="n"/>
      <c r="C17" s="32" t="n"/>
      <c r="D17" s="32" t="n"/>
      <c r="E17" s="32" t="n"/>
      <c r="F17" s="32" t="n"/>
      <c r="G17" s="32" t="n"/>
      <c r="H17" s="32" t="n"/>
      <c r="I17" s="32" t="n"/>
      <c r="J17" s="32" t="n"/>
      <c r="K17" s="32" t="n"/>
      <c r="L17" s="32" t="n"/>
      <c r="M17" s="32" t="n"/>
      <c r="N17" s="32" t="n"/>
      <c r="O17" s="32" t="n"/>
    </row>
    <row r="18">
      <c r="A18" s="32" t="n"/>
      <c r="B18" s="32" t="n"/>
      <c r="C18" s="32" t="n"/>
      <c r="D18" s="32" t="n"/>
      <c r="E18" s="32" t="n"/>
      <c r="F18" s="32" t="n"/>
      <c r="G18" s="32" t="n"/>
      <c r="H18" s="32" t="n"/>
      <c r="I18" s="32" t="n"/>
      <c r="J18" s="32" t="n"/>
      <c r="K18" s="32" t="n"/>
      <c r="L18" s="32" t="n"/>
      <c r="M18" s="32" t="n"/>
      <c r="N18" s="32" t="n"/>
      <c r="O18" s="32" t="n"/>
    </row>
    <row r="19">
      <c r="A19" s="32" t="n"/>
      <c r="B19" s="32" t="n"/>
      <c r="C19" s="32" t="n"/>
      <c r="D19" s="32" t="n"/>
      <c r="E19" s="32" t="n"/>
      <c r="F19" s="32" t="n"/>
      <c r="G19" s="32" t="n"/>
      <c r="H19" s="32" t="n"/>
      <c r="I19" s="32" t="n"/>
      <c r="J19" s="32" t="n"/>
      <c r="K19" s="32" t="n"/>
      <c r="L19" s="32" t="n"/>
      <c r="M19" s="32" t="n"/>
      <c r="N19" s="32" t="n"/>
      <c r="O19" s="32" t="n"/>
    </row>
    <row r="20">
      <c r="A20" s="32" t="n"/>
      <c r="B20" s="32" t="n"/>
      <c r="C20" s="32" t="n"/>
      <c r="D20" s="32" t="n"/>
      <c r="E20" s="32" t="n"/>
      <c r="F20" s="32" t="n"/>
      <c r="G20" s="32" t="n"/>
      <c r="H20" s="32" t="n"/>
      <c r="I20" s="32" t="n"/>
      <c r="J20" s="32" t="n"/>
      <c r="K20" s="32" t="n"/>
      <c r="L20" s="32" t="n"/>
      <c r="M20" s="32" t="n"/>
      <c r="N20" s="32" t="n"/>
      <c r="O20" s="32" t="n"/>
    </row>
    <row r="21">
      <c r="A21" s="32" t="n"/>
      <c r="B21" s="32" t="n"/>
      <c r="C21" s="32" t="n"/>
      <c r="D21" s="32" t="n"/>
      <c r="E21" s="32" t="n"/>
      <c r="F21" s="32" t="n"/>
      <c r="G21" s="32" t="n"/>
      <c r="H21" s="32" t="n"/>
      <c r="I21" s="32" t="n"/>
      <c r="J21" s="32" t="n"/>
      <c r="K21" s="32" t="n"/>
      <c r="L21" s="32" t="n"/>
      <c r="M21" s="32" t="n"/>
      <c r="N21" s="32" t="n"/>
      <c r="O21" s="32" t="n"/>
    </row>
    <row r="22">
      <c r="A22" s="32" t="n"/>
      <c r="B22" s="32" t="n"/>
      <c r="C22" s="32" t="n"/>
      <c r="D22" s="32" t="n"/>
      <c r="E22" s="32" t="n"/>
      <c r="F22" s="32" t="n"/>
      <c r="G22" s="32" t="n"/>
      <c r="H22" s="32" t="n"/>
      <c r="I22" s="32" t="n"/>
      <c r="J22" s="32" t="n"/>
      <c r="K22" s="32" t="n"/>
      <c r="L22" s="32" t="n"/>
      <c r="M22" s="32" t="n"/>
      <c r="N22" s="32" t="n"/>
      <c r="O22" s="32" t="n"/>
    </row>
    <row r="23">
      <c r="A23" s="32" t="n"/>
      <c r="B23" s="32" t="n"/>
      <c r="C23" s="32" t="n"/>
      <c r="D23" s="32" t="n"/>
      <c r="E23" s="32" t="n"/>
      <c r="F23" s="32" t="n"/>
      <c r="G23" s="32" t="n"/>
      <c r="H23" s="32" t="n"/>
      <c r="I23" s="32" t="n"/>
      <c r="J23" s="32" t="n"/>
      <c r="K23" s="32" t="n"/>
      <c r="L23" s="32" t="n"/>
      <c r="M23" s="32" t="n"/>
      <c r="N23" s="32" t="n"/>
      <c r="O23" s="32" t="n"/>
    </row>
    <row r="24">
      <c r="A24" s="32" t="n"/>
      <c r="B24" s="32" t="n"/>
      <c r="C24" s="32" t="n"/>
      <c r="D24" s="32" t="n"/>
      <c r="E24" s="32" t="n"/>
      <c r="F24" s="32" t="n"/>
      <c r="G24" s="32" t="n"/>
      <c r="H24" s="32" t="n"/>
      <c r="I24" s="32" t="n"/>
      <c r="J24" s="32" t="n"/>
      <c r="K24" s="32" t="n"/>
      <c r="L24" s="32" t="n"/>
      <c r="M24" s="32" t="n"/>
      <c r="N24" s="32" t="n"/>
      <c r="O24" s="32" t="n"/>
    </row>
    <row r="25">
      <c r="A25" s="32" t="n"/>
      <c r="B25" s="32" t="n"/>
      <c r="C25" s="32" t="n"/>
      <c r="D25" s="32" t="n"/>
      <c r="E25" s="32" t="n"/>
      <c r="F25" s="32" t="n"/>
      <c r="G25" s="32" t="n"/>
      <c r="H25" s="32" t="n"/>
      <c r="I25" s="32" t="n"/>
      <c r="J25" s="32" t="n"/>
      <c r="K25" s="32" t="n"/>
      <c r="L25" s="32" t="n"/>
      <c r="M25" s="32" t="n"/>
      <c r="N25" s="32" t="n"/>
      <c r="O25" s="32" t="n"/>
    </row>
    <row r="26">
      <c r="A26" s="32" t="n"/>
      <c r="B26" s="32" t="n"/>
      <c r="C26" s="32" t="n"/>
      <c r="D26" s="32" t="n"/>
      <c r="E26" s="32" t="n"/>
      <c r="F26" s="32" t="n"/>
      <c r="G26" s="32" t="n"/>
      <c r="H26" s="32" t="n"/>
      <c r="I26" s="32" t="n"/>
      <c r="J26" s="32" t="n"/>
      <c r="K26" s="32" t="n"/>
      <c r="L26" s="32" t="n"/>
      <c r="M26" s="32" t="n"/>
      <c r="N26" s="32" t="n"/>
      <c r="O26" s="32" t="n"/>
    </row>
    <row r="27">
      <c r="A27" s="32" t="n"/>
      <c r="B27" s="32" t="n"/>
      <c r="C27" s="32" t="n"/>
      <c r="D27" s="32" t="n"/>
      <c r="E27" s="32" t="n"/>
      <c r="F27" s="32" t="n"/>
      <c r="G27" s="32" t="n"/>
      <c r="H27" s="32" t="n"/>
      <c r="I27" s="32" t="n"/>
      <c r="J27" s="32" t="n"/>
      <c r="K27" s="32" t="n"/>
      <c r="L27" s="32" t="n"/>
      <c r="M27" s="32" t="n"/>
      <c r="N27" s="32" t="n"/>
      <c r="O27" s="32" t="n"/>
    </row>
    <row r="28">
      <c r="A28" s="32" t="n"/>
      <c r="B28" s="32" t="n"/>
      <c r="C28" s="32" t="n"/>
      <c r="D28" s="32" t="n"/>
      <c r="E28" s="32" t="n"/>
      <c r="F28" s="32" t="n"/>
      <c r="G28" s="32" t="n"/>
      <c r="H28" s="32" t="n"/>
      <c r="I28" s="32" t="n"/>
      <c r="J28" s="32" t="n"/>
      <c r="K28" s="32" t="n"/>
      <c r="L28" s="32" t="n"/>
      <c r="M28" s="32" t="n"/>
      <c r="N28" s="32" t="n"/>
      <c r="O28" s="32" t="n"/>
    </row>
    <row r="29">
      <c r="A29" s="32" t="n"/>
      <c r="B29" s="32" t="n"/>
      <c r="C29" s="32" t="n"/>
      <c r="D29" s="32" t="n"/>
      <c r="E29" s="32" t="n"/>
      <c r="F29" s="32" t="n"/>
      <c r="G29" s="32" t="n"/>
      <c r="H29" s="32" t="n"/>
      <c r="I29" s="32" t="n"/>
      <c r="J29" s="32" t="n"/>
      <c r="K29" s="32" t="n"/>
      <c r="L29" s="32" t="n"/>
      <c r="M29" s="32" t="n"/>
      <c r="N29" s="32" t="n"/>
      <c r="O29" s="32" t="n"/>
    </row>
    <row r="30">
      <c r="A30" s="32" t="n"/>
      <c r="B30" s="32" t="n"/>
      <c r="C30" s="32" t="n"/>
      <c r="D30" s="32" t="n"/>
      <c r="E30" s="32" t="n"/>
      <c r="F30" s="32" t="n"/>
      <c r="G30" s="32" t="n"/>
      <c r="H30" s="32" t="n"/>
      <c r="I30" s="32" t="n"/>
      <c r="J30" s="32" t="n"/>
      <c r="K30" s="32" t="n"/>
      <c r="L30" s="32" t="n"/>
      <c r="M30" s="32" t="n"/>
      <c r="N30" s="32" t="n"/>
      <c r="O30" s="32" t="n"/>
    </row>
    <row r="31">
      <c r="A31" s="32" t="n"/>
      <c r="B31" s="32" t="n"/>
      <c r="C31" s="32" t="n"/>
      <c r="D31" s="32" t="n"/>
      <c r="E31" s="32" t="n"/>
      <c r="F31" s="32" t="n"/>
      <c r="G31" s="32" t="n"/>
      <c r="H31" s="32" t="n"/>
      <c r="I31" s="32" t="n"/>
      <c r="J31" s="32" t="n"/>
      <c r="K31" s="32" t="n"/>
      <c r="L31" s="32" t="n"/>
      <c r="M31" s="32" t="n"/>
      <c r="N31" s="32" t="n"/>
      <c r="O31" s="32" t="n"/>
    </row>
    <row r="32">
      <c r="A32" s="32" t="n"/>
      <c r="B32" s="32" t="n"/>
      <c r="C32" s="32" t="n"/>
      <c r="D32" s="32" t="n"/>
      <c r="E32" s="32" t="n"/>
      <c r="F32" s="32" t="n"/>
      <c r="G32" s="32" t="n"/>
      <c r="H32" s="32" t="n"/>
      <c r="I32" s="32" t="n"/>
      <c r="J32" s="32" t="n"/>
      <c r="K32" s="32" t="n"/>
      <c r="L32" s="32" t="n"/>
      <c r="M32" s="32" t="n"/>
      <c r="N32" s="32" t="n"/>
      <c r="O32" s="32" t="n"/>
    </row>
    <row r="33">
      <c r="A33" s="32" t="n"/>
      <c r="B33" s="32" t="n"/>
      <c r="C33" s="32" t="n"/>
      <c r="D33" s="32" t="n"/>
      <c r="E33" s="32" t="n"/>
      <c r="F33" s="32" t="n"/>
      <c r="G33" s="32" t="n"/>
      <c r="H33" s="32" t="n"/>
      <c r="I33" s="32" t="n"/>
      <c r="J33" s="32" t="n"/>
      <c r="K33" s="32" t="n"/>
      <c r="L33" s="32" t="n"/>
      <c r="M33" s="32" t="n"/>
      <c r="N33" s="32" t="n"/>
      <c r="O33" s="32" t="n"/>
    </row>
    <row r="34">
      <c r="A34" s="32" t="n"/>
      <c r="B34" s="32" t="n"/>
      <c r="C34" s="32" t="n"/>
      <c r="D34" s="32" t="n"/>
      <c r="E34" s="32" t="n"/>
      <c r="F34" s="32" t="n"/>
      <c r="G34" s="32" t="n"/>
      <c r="H34" s="32" t="n"/>
      <c r="I34" s="32" t="n"/>
      <c r="J34" s="32" t="n"/>
      <c r="K34" s="32" t="n"/>
      <c r="L34" s="32" t="n"/>
      <c r="M34" s="32" t="n"/>
      <c r="N34" s="32" t="n"/>
      <c r="O34" s="32" t="n"/>
    </row>
    <row r="35">
      <c r="A35" s="32" t="n"/>
      <c r="B35" s="32" t="n"/>
      <c r="C35" s="32" t="n"/>
      <c r="D35" s="32" t="n"/>
      <c r="E35" s="32" t="n"/>
      <c r="F35" s="32" t="n"/>
      <c r="G35" s="32" t="n"/>
      <c r="H35" s="32" t="n"/>
      <c r="I35" s="32" t="n"/>
      <c r="J35" s="32" t="n"/>
      <c r="K35" s="32" t="n"/>
      <c r="L35" s="32" t="n"/>
      <c r="M35" s="32" t="n"/>
      <c r="N35" s="32" t="n"/>
      <c r="O35" s="32" t="n"/>
    </row>
    <row r="36">
      <c r="A36" s="32" t="n"/>
      <c r="B36" s="32" t="n"/>
      <c r="C36" s="32" t="n"/>
      <c r="D36" s="32" t="n"/>
      <c r="E36" s="32" t="n"/>
      <c r="F36" s="32" t="n"/>
      <c r="G36" s="32" t="n"/>
      <c r="H36" s="32" t="n"/>
      <c r="I36" s="32" t="n"/>
      <c r="J36" s="32" t="n"/>
      <c r="K36" s="32" t="n"/>
      <c r="L36" s="32" t="n"/>
      <c r="M36" s="32" t="n"/>
      <c r="N36" s="32" t="n"/>
      <c r="O36" s="32" t="n"/>
    </row>
    <row r="37">
      <c r="A37" s="32" t="n"/>
      <c r="B37" s="32" t="n"/>
      <c r="C37" s="32" t="n"/>
      <c r="D37" s="32" t="n"/>
      <c r="E37" s="32" t="n"/>
      <c r="F37" s="32" t="n"/>
      <c r="G37" s="32" t="n"/>
      <c r="H37" s="32" t="n"/>
      <c r="I37" s="32" t="n"/>
      <c r="J37" s="32" t="n"/>
      <c r="K37" s="32" t="n"/>
      <c r="L37" s="32" t="n"/>
      <c r="M37" s="32" t="n"/>
      <c r="N37" s="32" t="n"/>
      <c r="O37" s="32" t="n"/>
    </row>
    <row r="38">
      <c r="A38" s="32" t="n"/>
      <c r="B38" s="32" t="n"/>
      <c r="C38" s="32" t="n"/>
      <c r="D38" s="32" t="n"/>
      <c r="E38" s="32" t="n"/>
      <c r="F38" s="32" t="n"/>
      <c r="G38" s="32" t="n"/>
      <c r="H38" s="32" t="n"/>
      <c r="I38" s="32" t="n"/>
      <c r="J38" s="32" t="n"/>
      <c r="K38" s="32" t="n"/>
      <c r="L38" s="32" t="n"/>
      <c r="M38" s="32" t="n"/>
      <c r="N38" s="32" t="n"/>
      <c r="O38" s="32" t="n"/>
    </row>
    <row r="39">
      <c r="A39" s="32" t="n"/>
      <c r="B39" s="32" t="n"/>
      <c r="C39" s="32" t="n"/>
      <c r="D39" s="32" t="n"/>
      <c r="E39" s="32" t="n"/>
      <c r="F39" s="32" t="n"/>
      <c r="G39" s="32" t="n"/>
      <c r="H39" s="32" t="n"/>
      <c r="I39" s="32" t="n"/>
      <c r="J39" s="32" t="n"/>
      <c r="K39" s="32" t="n"/>
      <c r="L39" s="32" t="n"/>
      <c r="M39" s="32" t="n"/>
      <c r="N39" s="32" t="n"/>
      <c r="O39" s="32" t="n"/>
    </row>
    <row r="40">
      <c r="A40" s="32" t="n"/>
      <c r="B40" s="32" t="n"/>
      <c r="C40" s="32" t="n"/>
      <c r="D40" s="32" t="n"/>
      <c r="E40" s="32" t="n"/>
      <c r="F40" s="32" t="n"/>
      <c r="G40" s="32" t="n"/>
      <c r="H40" s="32" t="n"/>
      <c r="I40" s="32" t="n"/>
      <c r="J40" s="32" t="n"/>
      <c r="K40" s="32" t="n"/>
      <c r="L40" s="32" t="n"/>
      <c r="M40" s="32" t="n"/>
      <c r="N40" s="32" t="n"/>
      <c r="O40" s="32" t="n"/>
    </row>
    <row r="41">
      <c r="A41" s="32" t="n"/>
      <c r="B41" s="32" t="n"/>
      <c r="C41" s="32" t="n"/>
      <c r="D41" s="32" t="n"/>
      <c r="E41" s="32" t="n"/>
      <c r="F41" s="32" t="n"/>
      <c r="G41" s="32" t="n"/>
      <c r="H41" s="32" t="n"/>
      <c r="I41" s="32" t="n"/>
      <c r="J41" s="32" t="n"/>
      <c r="K41" s="32" t="n"/>
      <c r="L41" s="32" t="n"/>
      <c r="M41" s="32" t="n"/>
      <c r="N41" s="32" t="n"/>
      <c r="O41" s="32" t="n"/>
    </row>
    <row r="42">
      <c r="A42" s="32" t="n"/>
      <c r="B42" s="32" t="n"/>
      <c r="C42" s="32" t="n"/>
      <c r="D42" s="32" t="n"/>
      <c r="E42" s="32" t="n"/>
      <c r="F42" s="32" t="n"/>
      <c r="G42" s="32" t="n"/>
      <c r="H42" s="32" t="n"/>
      <c r="I42" s="32" t="n"/>
      <c r="J42" s="32" t="n"/>
      <c r="K42" s="32" t="n"/>
      <c r="L42" s="32" t="n"/>
      <c r="M42" s="32" t="n"/>
      <c r="N42" s="32" t="n"/>
      <c r="O42" s="32" t="n"/>
    </row>
    <row r="43">
      <c r="A43" s="32" t="n"/>
      <c r="B43" s="32" t="n"/>
      <c r="C43" s="32" t="n"/>
      <c r="D43" s="32" t="n"/>
      <c r="E43" s="32" t="n"/>
      <c r="F43" s="32" t="n"/>
      <c r="G43" s="32" t="n"/>
      <c r="H43" s="32" t="n"/>
      <c r="I43" s="32" t="n"/>
      <c r="J43" s="32" t="n"/>
      <c r="K43" s="32" t="n"/>
      <c r="L43" s="32" t="n"/>
      <c r="M43" s="32" t="n"/>
      <c r="N43" s="32" t="n"/>
      <c r="O43" s="32" t="n"/>
    </row>
    <row r="44">
      <c r="A44" s="32" t="n"/>
      <c r="B44" s="32" t="n"/>
      <c r="C44" s="32" t="n"/>
      <c r="D44" s="32" t="n"/>
      <c r="E44" s="32" t="n"/>
      <c r="F44" s="32" t="n"/>
      <c r="G44" s="32" t="n"/>
      <c r="H44" s="32" t="n"/>
      <c r="I44" s="32" t="n"/>
      <c r="J44" s="32" t="n"/>
      <c r="K44" s="32" t="n"/>
      <c r="L44" s="32" t="n"/>
      <c r="M44" s="32" t="n"/>
      <c r="N44" s="32" t="n"/>
      <c r="O44" s="32" t="n"/>
    </row>
    <row r="45">
      <c r="A45" s="32" t="n"/>
      <c r="B45" s="32" t="n"/>
      <c r="C45" s="32" t="n"/>
      <c r="D45" s="32" t="n"/>
      <c r="E45" s="32" t="n"/>
      <c r="F45" s="32" t="n"/>
      <c r="G45" s="32" t="n"/>
      <c r="H45" s="32" t="n"/>
      <c r="I45" s="32" t="n"/>
      <c r="J45" s="32" t="n"/>
      <c r="K45" s="32" t="n"/>
      <c r="L45" s="32" t="n"/>
      <c r="M45" s="32" t="n"/>
      <c r="N45" s="32" t="n"/>
      <c r="O45" s="32" t="n"/>
    </row>
    <row r="46">
      <c r="A46" s="32" t="n"/>
      <c r="B46" s="32" t="n"/>
      <c r="C46" s="32" t="n"/>
      <c r="D46" s="32" t="n"/>
      <c r="E46" s="32" t="n"/>
      <c r="F46" s="32" t="n"/>
      <c r="G46" s="32" t="n"/>
      <c r="H46" s="32" t="n"/>
      <c r="I46" s="32" t="n"/>
      <c r="J46" s="32" t="n"/>
      <c r="K46" s="32" t="n"/>
      <c r="L46" s="32" t="n"/>
      <c r="M46" s="32" t="n"/>
      <c r="N46" s="32" t="n"/>
      <c r="O46" s="32" t="n"/>
    </row>
    <row r="47">
      <c r="A47" s="32" t="n"/>
      <c r="B47" s="32" t="n"/>
      <c r="C47" s="32" t="n"/>
      <c r="D47" s="32" t="n"/>
      <c r="E47" s="32" t="n"/>
      <c r="F47" s="32" t="n"/>
      <c r="G47" s="32" t="n"/>
      <c r="H47" s="32" t="n"/>
      <c r="I47" s="32" t="n"/>
      <c r="J47" s="32" t="n"/>
      <c r="K47" s="32" t="n"/>
      <c r="L47" s="32" t="n"/>
      <c r="M47" s="32" t="n"/>
      <c r="N47" s="32" t="n"/>
      <c r="O47" s="32" t="n"/>
    </row>
    <row r="48">
      <c r="A48" s="32" t="n"/>
      <c r="B48" s="32" t="n"/>
      <c r="C48" s="32" t="n"/>
      <c r="D48" s="32" t="n"/>
      <c r="E48" s="32" t="n"/>
      <c r="F48" s="32" t="n"/>
      <c r="G48" s="32" t="n"/>
      <c r="H48" s="32" t="n"/>
      <c r="I48" s="32" t="n"/>
      <c r="J48" s="32" t="n"/>
      <c r="K48" s="32" t="n"/>
      <c r="L48" s="32" t="n"/>
      <c r="M48" s="32" t="n"/>
      <c r="N48" s="32" t="n"/>
      <c r="O48" s="32" t="n"/>
    </row>
    <row r="49">
      <c r="A49" s="32" t="n"/>
      <c r="B49" s="32" t="n"/>
      <c r="C49" s="32" t="n"/>
      <c r="D49" s="32" t="n"/>
      <c r="E49" s="32" t="n"/>
      <c r="F49" s="32" t="n"/>
      <c r="G49" s="32" t="n"/>
      <c r="H49" s="32" t="n"/>
      <c r="I49" s="32" t="n"/>
      <c r="J49" s="32" t="n"/>
      <c r="K49" s="32" t="n"/>
      <c r="L49" s="32" t="n"/>
      <c r="M49" s="32" t="n"/>
      <c r="N49" s="32" t="n"/>
      <c r="O49" s="32" t="n"/>
    </row>
    <row r="50">
      <c r="A50" s="32" t="n"/>
      <c r="B50" s="32" t="n"/>
      <c r="C50" s="32" t="n"/>
      <c r="D50" s="32" t="n"/>
      <c r="E50" s="32" t="n"/>
      <c r="F50" s="32" t="n"/>
      <c r="G50" s="32" t="n"/>
      <c r="H50" s="32" t="n"/>
      <c r="I50" s="32" t="n"/>
      <c r="J50" s="32" t="n"/>
      <c r="K50" s="32" t="n"/>
      <c r="L50" s="32" t="n"/>
      <c r="M50" s="32" t="n"/>
      <c r="N50" s="32" t="n"/>
      <c r="O50" s="32" t="n"/>
    </row>
    <row r="51">
      <c r="A51" s="32" t="n"/>
      <c r="B51" s="32" t="n"/>
      <c r="C51" s="32" t="n"/>
      <c r="D51" s="32" t="n"/>
      <c r="E51" s="32" t="n"/>
      <c r="F51" s="32" t="n"/>
      <c r="G51" s="32" t="n"/>
      <c r="H51" s="32" t="n"/>
      <c r="I51" s="32" t="n"/>
      <c r="J51" s="32" t="n"/>
      <c r="K51" s="32" t="n"/>
      <c r="L51" s="32" t="n"/>
      <c r="M51" s="32" t="n"/>
      <c r="N51" s="32" t="n"/>
      <c r="O51" s="32" t="n"/>
    </row>
    <row r="52">
      <c r="A52" s="32" t="n"/>
      <c r="B52" s="32" t="n"/>
      <c r="C52" s="32" t="n"/>
      <c r="D52" s="32" t="n"/>
      <c r="E52" s="32" t="n"/>
      <c r="F52" s="32" t="n"/>
      <c r="G52" s="32" t="n"/>
      <c r="H52" s="32" t="n"/>
      <c r="I52" s="32" t="n"/>
      <c r="J52" s="32" t="n"/>
      <c r="K52" s="32" t="n"/>
      <c r="L52" s="32" t="n"/>
      <c r="M52" s="32" t="n"/>
      <c r="N52" s="32" t="n"/>
      <c r="O52" s="32" t="n"/>
    </row>
    <row r="53">
      <c r="A53" s="32" t="n"/>
      <c r="B53" s="32" t="n"/>
      <c r="C53" s="32" t="n"/>
      <c r="D53" s="32" t="n"/>
      <c r="E53" s="32" t="n"/>
      <c r="F53" s="32" t="n"/>
      <c r="G53" s="32" t="n"/>
      <c r="H53" s="32" t="n"/>
      <c r="I53" s="32" t="n"/>
      <c r="J53" s="32" t="n"/>
      <c r="K53" s="32" t="n"/>
      <c r="L53" s="32" t="n"/>
      <c r="M53" s="32" t="n"/>
      <c r="N53" s="32" t="n"/>
      <c r="O53" s="32" t="n"/>
    </row>
    <row r="54">
      <c r="A54" s="32" t="n"/>
      <c r="B54" s="32" t="n"/>
      <c r="C54" s="32" t="n"/>
      <c r="D54" s="32" t="n"/>
      <c r="E54" s="32" t="n"/>
      <c r="F54" s="32" t="n"/>
      <c r="G54" s="32" t="n"/>
      <c r="H54" s="32" t="n"/>
      <c r="I54" s="32" t="n"/>
      <c r="J54" s="32" t="n"/>
      <c r="K54" s="32" t="n"/>
      <c r="L54" s="32" t="n"/>
      <c r="M54" s="32" t="n"/>
      <c r="N54" s="32" t="n"/>
      <c r="O54" s="32" t="n"/>
    </row>
    <row r="55">
      <c r="A55" s="32" t="n"/>
      <c r="B55" s="32" t="n"/>
      <c r="C55" s="32" t="n"/>
      <c r="D55" s="32" t="n"/>
      <c r="E55" s="32" t="n"/>
      <c r="F55" s="32" t="n"/>
      <c r="G55" s="32" t="n"/>
      <c r="H55" s="32" t="n"/>
      <c r="I55" s="32" t="n"/>
      <c r="J55" s="32" t="n"/>
      <c r="K55" s="32" t="n"/>
      <c r="L55" s="32" t="n"/>
      <c r="M55" s="32" t="n"/>
      <c r="N55" s="32" t="n"/>
      <c r="O55" s="32" t="n"/>
    </row>
    <row r="56">
      <c r="A56" s="32" t="n"/>
      <c r="B56" s="32" t="n"/>
      <c r="C56" s="32" t="n"/>
      <c r="D56" s="32" t="n"/>
      <c r="E56" s="32" t="n"/>
      <c r="F56" s="32" t="n"/>
      <c r="G56" s="32" t="n"/>
      <c r="H56" s="32" t="n"/>
      <c r="I56" s="32" t="n"/>
      <c r="J56" s="32" t="n"/>
      <c r="K56" s="32" t="n"/>
      <c r="L56" s="32" t="n"/>
      <c r="M56" s="32" t="n"/>
      <c r="N56" s="32" t="n"/>
      <c r="O56" s="32" t="n"/>
    </row>
    <row r="57">
      <c r="A57" s="32" t="n"/>
      <c r="B57" s="32" t="n"/>
      <c r="C57" s="32" t="n"/>
      <c r="D57" s="32" t="n"/>
      <c r="E57" s="32" t="n"/>
      <c r="F57" s="32" t="n"/>
      <c r="G57" s="32" t="n"/>
      <c r="H57" s="32" t="n"/>
      <c r="I57" s="32" t="n"/>
      <c r="J57" s="32" t="n"/>
      <c r="K57" s="32" t="n"/>
      <c r="L57" s="32" t="n"/>
      <c r="M57" s="32" t="n"/>
      <c r="N57" s="32" t="n"/>
      <c r="O57" s="32" t="n"/>
    </row>
    <row r="58">
      <c r="A58" s="32" t="n"/>
      <c r="B58" s="32" t="n"/>
      <c r="C58" s="32" t="n"/>
      <c r="D58" s="32" t="n"/>
      <c r="E58" s="32" t="n"/>
      <c r="F58" s="32" t="n"/>
      <c r="G58" s="32" t="n"/>
      <c r="H58" s="32" t="n"/>
      <c r="I58" s="32" t="n"/>
      <c r="J58" s="32" t="n"/>
      <c r="K58" s="32" t="n"/>
      <c r="L58" s="32" t="n"/>
      <c r="M58" s="32" t="n"/>
      <c r="N58" s="32" t="n"/>
      <c r="O58" s="32" t="n"/>
    </row>
    <row r="59">
      <c r="A59" s="32" t="n"/>
      <c r="B59" s="32" t="n"/>
      <c r="C59" s="32" t="n"/>
      <c r="D59" s="32" t="n"/>
      <c r="E59" s="32" t="n"/>
      <c r="F59" s="32" t="n"/>
      <c r="G59" s="32" t="n"/>
      <c r="H59" s="32" t="n"/>
      <c r="I59" s="32" t="n"/>
      <c r="J59" s="32" t="n"/>
      <c r="K59" s="32" t="n"/>
      <c r="L59" s="32" t="n"/>
      <c r="M59" s="32" t="n"/>
      <c r="N59" s="32" t="n"/>
      <c r="O59" s="32" t="n"/>
    </row>
    <row r="60">
      <c r="A60" s="32" t="n"/>
      <c r="B60" s="32" t="n"/>
      <c r="C60" s="32" t="n"/>
      <c r="D60" s="32" t="n"/>
      <c r="E60" s="32" t="n"/>
      <c r="F60" s="32" t="n"/>
      <c r="G60" s="32" t="n"/>
      <c r="H60" s="32" t="n"/>
      <c r="I60" s="32" t="n"/>
      <c r="J60" s="32" t="n"/>
      <c r="K60" s="32" t="n"/>
      <c r="L60" s="32" t="n"/>
      <c r="M60" s="32" t="n"/>
      <c r="N60" s="32" t="n"/>
      <c r="O60" s="32" t="n"/>
    </row>
    <row r="61">
      <c r="A61" s="32" t="n"/>
      <c r="B61" s="32" t="n"/>
      <c r="C61" s="32" t="n"/>
      <c r="D61" s="32" t="n"/>
      <c r="E61" s="32" t="n"/>
      <c r="F61" s="32" t="n"/>
      <c r="G61" s="32" t="n"/>
      <c r="H61" s="32" t="n"/>
      <c r="I61" s="32" t="n"/>
      <c r="J61" s="32" t="n"/>
      <c r="K61" s="32" t="n"/>
      <c r="L61" s="32" t="n"/>
      <c r="M61" s="32" t="n"/>
      <c r="N61" s="32" t="n"/>
      <c r="O61" s="32" t="n"/>
    </row>
    <row r="62">
      <c r="A62" s="32" t="n"/>
      <c r="B62" s="32" t="n"/>
      <c r="C62" s="32" t="n"/>
      <c r="D62" s="32" t="n"/>
      <c r="E62" s="32" t="n"/>
      <c r="F62" s="32" t="n"/>
      <c r="G62" s="32" t="n"/>
      <c r="H62" s="32" t="n"/>
      <c r="I62" s="32" t="n"/>
      <c r="J62" s="32" t="n"/>
      <c r="K62" s="32" t="n"/>
      <c r="L62" s="32" t="n"/>
      <c r="M62" s="32" t="n"/>
      <c r="N62" s="32" t="n"/>
      <c r="O62" s="32" t="n"/>
    </row>
    <row r="63">
      <c r="A63" s="32" t="n"/>
      <c r="B63" s="32" t="n"/>
      <c r="C63" s="32" t="n"/>
      <c r="D63" s="32" t="n"/>
      <c r="E63" s="32" t="n"/>
      <c r="F63" s="32" t="n"/>
      <c r="G63" s="32" t="n"/>
      <c r="H63" s="32" t="n"/>
      <c r="I63" s="32" t="n"/>
      <c r="J63" s="32" t="n"/>
      <c r="K63" s="32" t="n"/>
      <c r="L63" s="32" t="n"/>
      <c r="M63" s="32" t="n"/>
      <c r="N63" s="32" t="n"/>
      <c r="O63" s="32" t="n"/>
    </row>
    <row r="64">
      <c r="A64" s="32" t="n"/>
      <c r="B64" s="32" t="n"/>
      <c r="C64" s="32" t="n"/>
      <c r="D64" s="32" t="n"/>
      <c r="E64" s="32" t="n"/>
      <c r="F64" s="32" t="n"/>
      <c r="G64" s="32" t="n"/>
      <c r="H64" s="32" t="n"/>
      <c r="I64" s="32" t="n"/>
      <c r="J64" s="32" t="n"/>
      <c r="K64" s="32" t="n"/>
      <c r="L64" s="32" t="n"/>
      <c r="M64" s="32" t="n"/>
      <c r="N64" s="32" t="n"/>
      <c r="O64" s="32" t="n"/>
    </row>
    <row r="65">
      <c r="A65" s="32" t="n"/>
      <c r="B65" s="32" t="n"/>
      <c r="C65" s="32" t="n"/>
      <c r="D65" s="32" t="n"/>
      <c r="E65" s="32" t="n"/>
      <c r="F65" s="32" t="n"/>
      <c r="G65" s="32" t="n"/>
      <c r="H65" s="32" t="n"/>
      <c r="I65" s="32" t="n"/>
      <c r="J65" s="32" t="n"/>
      <c r="K65" s="32" t="n"/>
      <c r="L65" s="32" t="n"/>
      <c r="M65" s="32" t="n"/>
      <c r="N65" s="32" t="n"/>
      <c r="O65" s="32" t="n"/>
    </row>
    <row r="66">
      <c r="A66" s="32" t="n"/>
      <c r="B66" s="32" t="n"/>
      <c r="C66" s="32" t="n"/>
      <c r="D66" s="32" t="n"/>
      <c r="E66" s="32" t="n"/>
      <c r="F66" s="32" t="n"/>
      <c r="G66" s="32" t="n"/>
      <c r="H66" s="32" t="n"/>
      <c r="I66" s="32" t="n"/>
      <c r="J66" s="32" t="n"/>
      <c r="K66" s="32" t="n"/>
      <c r="L66" s="32" t="n"/>
      <c r="M66" s="32" t="n"/>
      <c r="N66" s="32" t="n"/>
      <c r="O66" s="32" t="n"/>
    </row>
    <row r="67">
      <c r="A67" s="32" t="n"/>
      <c r="B67" s="32" t="n"/>
      <c r="C67" s="32" t="n"/>
      <c r="D67" s="32" t="n"/>
      <c r="E67" s="32" t="n"/>
      <c r="F67" s="32" t="n"/>
      <c r="G67" s="32" t="n"/>
      <c r="H67" s="32" t="n"/>
      <c r="I67" s="32" t="n"/>
      <c r="J67" s="32" t="n"/>
      <c r="K67" s="32" t="n"/>
      <c r="L67" s="32" t="n"/>
      <c r="M67" s="32" t="n"/>
      <c r="N67" s="32" t="n"/>
      <c r="O67" s="32" t="n"/>
    </row>
    <row r="68">
      <c r="A68" s="32" t="n"/>
      <c r="B68" s="32" t="n"/>
      <c r="C68" s="32" t="n"/>
      <c r="D68" s="32" t="n"/>
      <c r="E68" s="32" t="n"/>
      <c r="F68" s="32" t="n"/>
      <c r="G68" s="32" t="n"/>
      <c r="H68" s="32" t="n"/>
      <c r="I68" s="32" t="n"/>
      <c r="J68" s="32" t="n"/>
      <c r="K68" s="32" t="n"/>
      <c r="L68" s="32" t="n"/>
      <c r="M68" s="32" t="n"/>
      <c r="N68" s="32" t="n"/>
      <c r="O68" s="32" t="n"/>
    </row>
    <row r="69">
      <c r="A69" s="32" t="n"/>
      <c r="B69" s="32" t="n"/>
      <c r="C69" s="32" t="n"/>
      <c r="D69" s="32" t="n"/>
      <c r="E69" s="32" t="n"/>
      <c r="F69" s="32" t="n"/>
      <c r="G69" s="32" t="n"/>
      <c r="H69" s="32" t="n"/>
      <c r="I69" s="32" t="n"/>
      <c r="J69" s="32" t="n"/>
      <c r="K69" s="32" t="n"/>
      <c r="L69" s="32" t="n"/>
      <c r="M69" s="32" t="n"/>
      <c r="N69" s="32" t="n"/>
      <c r="O69" s="32" t="n"/>
    </row>
    <row r="70">
      <c r="A70" s="32" t="n"/>
      <c r="B70" s="32" t="n"/>
      <c r="C70" s="32" t="n"/>
      <c r="D70" s="32" t="n"/>
      <c r="E70" s="32" t="n"/>
      <c r="F70" s="32" t="n"/>
      <c r="G70" s="32" t="n"/>
      <c r="H70" s="32" t="n"/>
      <c r="I70" s="32" t="n"/>
      <c r="J70" s="32" t="n"/>
      <c r="K70" s="32" t="n"/>
      <c r="L70" s="32" t="n"/>
      <c r="M70" s="32" t="n"/>
      <c r="N70" s="32" t="n"/>
      <c r="O70" s="32" t="n"/>
    </row>
    <row r="71">
      <c r="A71" s="32" t="n"/>
      <c r="B71" s="32" t="n"/>
      <c r="C71" s="32" t="n"/>
      <c r="D71" s="32" t="n"/>
      <c r="E71" s="32" t="n"/>
      <c r="F71" s="32" t="n"/>
      <c r="G71" s="32" t="n"/>
      <c r="H71" s="32" t="n"/>
      <c r="I71" s="32" t="n"/>
      <c r="J71" s="32" t="n"/>
      <c r="K71" s="32" t="n"/>
      <c r="L71" s="32" t="n"/>
      <c r="M71" s="32" t="n"/>
      <c r="N71" s="32" t="n"/>
      <c r="O71" s="32" t="n"/>
    </row>
    <row r="72">
      <c r="A72" s="32" t="n"/>
      <c r="B72" s="32" t="n"/>
      <c r="C72" s="32" t="n"/>
      <c r="D72" s="32" t="n"/>
      <c r="E72" s="32" t="n"/>
      <c r="F72" s="32" t="n"/>
      <c r="G72" s="32" t="n"/>
      <c r="H72" s="32" t="n"/>
      <c r="I72" s="32" t="n"/>
      <c r="J72" s="32" t="n"/>
      <c r="K72" s="32" t="n"/>
      <c r="L72" s="32" t="n"/>
      <c r="M72" s="32" t="n"/>
      <c r="N72" s="32" t="n"/>
      <c r="O72" s="32" t="n"/>
    </row>
    <row r="73">
      <c r="A73" s="32" t="n"/>
      <c r="B73" s="32" t="n"/>
      <c r="C73" s="32" t="n"/>
      <c r="D73" s="32" t="n"/>
      <c r="E73" s="32" t="n"/>
      <c r="F73" s="32" t="n"/>
      <c r="G73" s="32" t="n"/>
      <c r="H73" s="32" t="n"/>
      <c r="I73" s="32" t="n"/>
      <c r="J73" s="32" t="n"/>
      <c r="K73" s="32" t="n"/>
      <c r="L73" s="32" t="n"/>
      <c r="M73" s="32" t="n"/>
      <c r="N73" s="32" t="n"/>
      <c r="O73" s="32" t="n"/>
    </row>
    <row r="74">
      <c r="A74" s="32" t="n"/>
      <c r="B74" s="32" t="n"/>
      <c r="C74" s="32" t="n"/>
      <c r="D74" s="32" t="n"/>
      <c r="E74" s="32" t="n"/>
      <c r="F74" s="32" t="n"/>
      <c r="G74" s="32" t="n"/>
      <c r="H74" s="32" t="n"/>
      <c r="I74" s="32" t="n"/>
      <c r="J74" s="32" t="n"/>
      <c r="K74" s="32" t="n"/>
      <c r="L74" s="32" t="n"/>
      <c r="M74" s="32" t="n"/>
      <c r="N74" s="32" t="n"/>
      <c r="O74" s="32" t="n"/>
    </row>
    <row r="75">
      <c r="A75" s="32" t="n"/>
      <c r="B75" s="32" t="n"/>
      <c r="C75" s="32" t="n"/>
      <c r="D75" s="32" t="n"/>
      <c r="E75" s="32" t="n"/>
      <c r="F75" s="32" t="n"/>
      <c r="G75" s="32" t="n"/>
      <c r="H75" s="32" t="n"/>
      <c r="I75" s="32" t="n"/>
      <c r="J75" s="32" t="n"/>
      <c r="K75" s="32" t="n"/>
      <c r="L75" s="32" t="n"/>
      <c r="M75" s="32" t="n"/>
      <c r="N75" s="32" t="n"/>
      <c r="O75" s="32" t="n"/>
    </row>
    <row r="76">
      <c r="A76" s="32" t="n"/>
      <c r="B76" s="32" t="n"/>
      <c r="C76" s="32" t="n"/>
      <c r="D76" s="32" t="n"/>
      <c r="E76" s="32" t="n"/>
      <c r="F76" s="32" t="n"/>
      <c r="G76" s="32" t="n"/>
      <c r="H76" s="32" t="n"/>
      <c r="I76" s="32" t="n"/>
      <c r="J76" s="32" t="n"/>
      <c r="K76" s="32" t="n"/>
      <c r="L76" s="32" t="n"/>
      <c r="M76" s="32" t="n"/>
      <c r="N76" s="32" t="n"/>
      <c r="O76" s="32" t="n"/>
    </row>
    <row r="77">
      <c r="A77" s="32" t="n"/>
      <c r="B77" s="32" t="n"/>
      <c r="C77" s="32" t="n"/>
      <c r="D77" s="32" t="n"/>
      <c r="E77" s="32" t="n"/>
      <c r="F77" s="32" t="n"/>
      <c r="G77" s="32" t="n"/>
      <c r="H77" s="32" t="n"/>
      <c r="I77" s="32" t="n"/>
      <c r="J77" s="32" t="n"/>
      <c r="K77" s="32" t="n"/>
      <c r="L77" s="32" t="n"/>
      <c r="M77" s="32" t="n"/>
      <c r="N77" s="32" t="n"/>
      <c r="O77" s="32" t="n"/>
    </row>
    <row r="78">
      <c r="A78" s="32" t="n"/>
      <c r="B78" s="32" t="n"/>
      <c r="C78" s="32" t="n"/>
      <c r="D78" s="32" t="n"/>
      <c r="E78" s="32" t="n"/>
      <c r="F78" s="32" t="n"/>
      <c r="G78" s="32" t="n"/>
      <c r="H78" s="32" t="n"/>
      <c r="I78" s="32" t="n"/>
      <c r="J78" s="32" t="n"/>
      <c r="K78" s="32" t="n"/>
      <c r="L78" s="32" t="n"/>
      <c r="M78" s="32" t="n"/>
      <c r="N78" s="32" t="n"/>
      <c r="O78" s="32" t="n"/>
    </row>
    <row r="79">
      <c r="A79" s="32" t="n"/>
      <c r="B79" s="32" t="n"/>
      <c r="C79" s="32" t="n"/>
      <c r="D79" s="32" t="n"/>
      <c r="E79" s="32" t="n"/>
      <c r="F79" s="32" t="n"/>
      <c r="G79" s="32" t="n"/>
      <c r="H79" s="32" t="n"/>
      <c r="I79" s="32" t="n"/>
      <c r="J79" s="32" t="n"/>
      <c r="K79" s="32" t="n"/>
      <c r="L79" s="32" t="n"/>
      <c r="M79" s="32" t="n"/>
      <c r="N79" s="32" t="n"/>
      <c r="O79" s="32" t="n"/>
    </row>
    <row r="80">
      <c r="A80" s="32" t="n"/>
      <c r="B80" s="32" t="n"/>
      <c r="C80" s="32" t="n"/>
      <c r="D80" s="32" t="n"/>
      <c r="E80" s="32" t="n"/>
      <c r="F80" s="32" t="n"/>
      <c r="G80" s="32" t="n"/>
      <c r="H80" s="32" t="n"/>
      <c r="I80" s="32" t="n"/>
      <c r="J80" s="32" t="n"/>
      <c r="K80" s="32" t="n"/>
      <c r="L80" s="32" t="n"/>
      <c r="M80" s="32" t="n"/>
      <c r="N80" s="32" t="n"/>
      <c r="O80" s="32" t="n"/>
    </row>
    <row r="81">
      <c r="A81" s="32" t="n"/>
      <c r="B81" s="32" t="n"/>
      <c r="C81" s="32" t="n"/>
      <c r="D81" s="32" t="n"/>
      <c r="E81" s="32" t="n"/>
      <c r="F81" s="32" t="n"/>
      <c r="G81" s="32" t="n"/>
      <c r="H81" s="32" t="n"/>
      <c r="I81" s="32" t="n"/>
      <c r="J81" s="32" t="n"/>
      <c r="K81" s="32" t="n"/>
      <c r="L81" s="32" t="n"/>
      <c r="M81" s="32" t="n"/>
      <c r="N81" s="32" t="n"/>
      <c r="O81" s="32" t="n"/>
    </row>
    <row r="82">
      <c r="A82" s="32" t="n"/>
      <c r="B82" s="32" t="n"/>
      <c r="C82" s="32" t="n"/>
      <c r="D82" s="32" t="n"/>
      <c r="E82" s="32" t="n"/>
      <c r="F82" s="32" t="n"/>
      <c r="G82" s="32" t="n"/>
      <c r="H82" s="32" t="n"/>
      <c r="I82" s="32" t="n"/>
      <c r="J82" s="32" t="n"/>
      <c r="K82" s="32" t="n"/>
      <c r="L82" s="32" t="n"/>
      <c r="M82" s="32" t="n"/>
      <c r="N82" s="32" t="n"/>
      <c r="O82" s="32" t="n"/>
    </row>
    <row r="83">
      <c r="A83" s="32" t="n"/>
      <c r="B83" s="32" t="n"/>
      <c r="C83" s="32" t="n"/>
      <c r="D83" s="32" t="n"/>
      <c r="E83" s="32" t="n"/>
      <c r="F83" s="32" t="n"/>
      <c r="G83" s="32" t="n"/>
      <c r="H83" s="32" t="n"/>
      <c r="I83" s="32" t="n"/>
      <c r="J83" s="32" t="n"/>
      <c r="K83" s="32" t="n"/>
      <c r="L83" s="32" t="n"/>
      <c r="M83" s="32" t="n"/>
      <c r="N83" s="32" t="n"/>
      <c r="O83" s="32" t="n"/>
    </row>
    <row r="84">
      <c r="A84" s="32" t="n"/>
      <c r="B84" s="32" t="n"/>
      <c r="C84" s="32" t="n"/>
      <c r="D84" s="32" t="n"/>
      <c r="E84" s="32" t="n"/>
      <c r="F84" s="32" t="n"/>
      <c r="G84" s="32" t="n"/>
      <c r="H84" s="32" t="n"/>
      <c r="I84" s="32" t="n"/>
      <c r="J84" s="32" t="n"/>
      <c r="K84" s="32" t="n"/>
      <c r="L84" s="32" t="n"/>
      <c r="M84" s="32" t="n"/>
      <c r="N84" s="32" t="n"/>
      <c r="O84" s="32" t="n"/>
    </row>
    <row r="85">
      <c r="A85" s="32" t="n"/>
      <c r="B85" s="32" t="n"/>
      <c r="C85" s="32" t="n"/>
      <c r="D85" s="32" t="n"/>
      <c r="E85" s="32" t="n"/>
      <c r="F85" s="32" t="n"/>
      <c r="G85" s="32" t="n"/>
      <c r="H85" s="32" t="n"/>
      <c r="I85" s="32" t="n"/>
      <c r="J85" s="32" t="n"/>
      <c r="K85" s="32" t="n"/>
      <c r="L85" s="32" t="n"/>
      <c r="M85" s="32" t="n"/>
      <c r="N85" s="32" t="n"/>
      <c r="O85" s="32" t="n"/>
    </row>
    <row r="86">
      <c r="A86" s="32" t="n"/>
      <c r="B86" s="32" t="n"/>
      <c r="C86" s="32" t="n"/>
      <c r="D86" s="32" t="n"/>
      <c r="E86" s="32" t="n"/>
      <c r="F86" s="32" t="n"/>
      <c r="G86" s="32" t="n"/>
      <c r="H86" s="32" t="n"/>
      <c r="I86" s="32" t="n"/>
      <c r="J86" s="32" t="n"/>
      <c r="K86" s="32" t="n"/>
      <c r="L86" s="32" t="n"/>
      <c r="M86" s="32" t="n"/>
      <c r="N86" s="32" t="n"/>
      <c r="O86" s="32" t="n"/>
    </row>
    <row r="87">
      <c r="A87" s="32" t="n"/>
      <c r="B87" s="32" t="n"/>
      <c r="C87" s="32" t="n"/>
      <c r="D87" s="32" t="n"/>
      <c r="E87" s="32" t="n"/>
      <c r="F87" s="32" t="n"/>
      <c r="G87" s="32" t="n"/>
      <c r="H87" s="32" t="n"/>
      <c r="I87" s="32" t="n"/>
      <c r="J87" s="32" t="n"/>
      <c r="K87" s="32" t="n"/>
      <c r="L87" s="32" t="n"/>
      <c r="M87" s="32" t="n"/>
      <c r="N87" s="32" t="n"/>
      <c r="O87" s="32" t="n"/>
    </row>
    <row r="88">
      <c r="A88" s="32" t="n"/>
      <c r="B88" s="32" t="n"/>
      <c r="C88" s="32" t="n"/>
      <c r="D88" s="32" t="n"/>
      <c r="E88" s="32" t="n"/>
      <c r="F88" s="32" t="n"/>
      <c r="G88" s="32" t="n"/>
      <c r="H88" s="32" t="n"/>
      <c r="I88" s="32" t="n"/>
      <c r="J88" s="32" t="n"/>
      <c r="K88" s="32" t="n"/>
      <c r="L88" s="32" t="n"/>
      <c r="M88" s="32" t="n"/>
      <c r="N88" s="32" t="n"/>
      <c r="O88" s="32" t="n"/>
    </row>
    <row r="89">
      <c r="A89" s="32" t="n"/>
      <c r="B89" s="32" t="n"/>
      <c r="C89" s="32" t="n"/>
      <c r="D89" s="32" t="n"/>
      <c r="E89" s="32" t="n"/>
      <c r="F89" s="32" t="n"/>
      <c r="G89" s="32" t="n"/>
      <c r="H89" s="32" t="n"/>
      <c r="I89" s="32" t="n"/>
      <c r="J89" s="32" t="n"/>
      <c r="K89" s="32" t="n"/>
      <c r="L89" s="32" t="n"/>
      <c r="M89" s="32" t="n"/>
      <c r="N89" s="32" t="n"/>
      <c r="O89" s="32" t="n"/>
    </row>
    <row r="90">
      <c r="A90" s="32" t="n"/>
      <c r="B90" s="32" t="n"/>
      <c r="C90" s="32" t="n"/>
      <c r="D90" s="32" t="n"/>
      <c r="E90" s="32" t="n"/>
      <c r="F90" s="32" t="n"/>
      <c r="G90" s="32" t="n"/>
      <c r="H90" s="32" t="n"/>
      <c r="I90" s="32" t="n"/>
      <c r="J90" s="32" t="n"/>
      <c r="K90" s="32" t="n"/>
      <c r="L90" s="32" t="n"/>
      <c r="M90" s="32" t="n"/>
      <c r="N90" s="32" t="n"/>
      <c r="O90" s="32" t="n"/>
    </row>
    <row r="91">
      <c r="A91" s="32" t="n"/>
      <c r="B91" s="32" t="n"/>
      <c r="C91" s="32" t="n"/>
      <c r="D91" s="32" t="n"/>
      <c r="E91" s="32" t="n"/>
      <c r="F91" s="32" t="n"/>
      <c r="G91" s="32" t="n"/>
      <c r="H91" s="32" t="n"/>
      <c r="I91" s="32" t="n"/>
      <c r="J91" s="32" t="n"/>
      <c r="K91" s="32" t="n"/>
      <c r="L91" s="32" t="n"/>
      <c r="M91" s="32" t="n"/>
      <c r="N91" s="32" t="n"/>
      <c r="O91" s="32" t="n"/>
    </row>
    <row r="92">
      <c r="A92" s="32" t="n"/>
      <c r="B92" s="32" t="n"/>
      <c r="C92" s="32" t="n"/>
      <c r="D92" s="32" t="n"/>
      <c r="E92" s="32" t="n"/>
      <c r="F92" s="32" t="n"/>
      <c r="G92" s="32" t="n"/>
      <c r="H92" s="32" t="n"/>
      <c r="I92" s="32" t="n"/>
      <c r="J92" s="32" t="n"/>
      <c r="K92" s="32" t="n"/>
      <c r="L92" s="32" t="n"/>
      <c r="M92" s="32" t="n"/>
      <c r="N92" s="32" t="n"/>
      <c r="O92" s="32" t="n"/>
    </row>
    <row r="93">
      <c r="A93" s="32" t="n"/>
      <c r="B93" s="32" t="n"/>
      <c r="C93" s="32" t="n"/>
      <c r="D93" s="32" t="n"/>
      <c r="E93" s="32" t="n"/>
      <c r="F93" s="32" t="n"/>
      <c r="G93" s="32" t="n"/>
      <c r="H93" s="32" t="n"/>
      <c r="I93" s="32" t="n"/>
      <c r="J93" s="32" t="n"/>
      <c r="K93" s="32" t="n"/>
      <c r="L93" s="32" t="n"/>
      <c r="M93" s="32" t="n"/>
      <c r="N93" s="32" t="n"/>
      <c r="O93" s="32" t="n"/>
    </row>
    <row r="94">
      <c r="A94" s="32" t="n"/>
      <c r="B94" s="32" t="n"/>
      <c r="C94" s="32" t="n"/>
      <c r="D94" s="32" t="n"/>
      <c r="E94" s="32" t="n"/>
      <c r="F94" s="32" t="n"/>
      <c r="G94" s="32" t="n"/>
      <c r="H94" s="32" t="n"/>
      <c r="I94" s="32" t="n"/>
      <c r="J94" s="32" t="n"/>
      <c r="K94" s="32" t="n"/>
      <c r="L94" s="32" t="n"/>
      <c r="M94" s="32" t="n"/>
      <c r="N94" s="32" t="n"/>
      <c r="O94" s="32" t="n"/>
    </row>
    <row r="95">
      <c r="A95" s="32" t="n"/>
      <c r="B95" s="32" t="n"/>
      <c r="C95" s="32" t="n"/>
      <c r="D95" s="32" t="n"/>
      <c r="E95" s="32" t="n"/>
      <c r="F95" s="32" t="n"/>
      <c r="G95" s="32" t="n"/>
      <c r="H95" s="32" t="n"/>
      <c r="I95" s="32" t="n"/>
      <c r="J95" s="32" t="n"/>
      <c r="K95" s="32" t="n"/>
      <c r="L95" s="32" t="n"/>
      <c r="M95" s="32" t="n"/>
      <c r="N95" s="32" t="n"/>
      <c r="O95" s="32" t="n"/>
    </row>
    <row r="96">
      <c r="A96" s="32" t="n"/>
      <c r="B96" s="32" t="n"/>
      <c r="C96" s="32" t="n"/>
      <c r="D96" s="32" t="n"/>
      <c r="E96" s="32" t="n"/>
      <c r="F96" s="32" t="n"/>
      <c r="G96" s="32" t="n"/>
      <c r="H96" s="32" t="n"/>
      <c r="I96" s="32" t="n"/>
      <c r="J96" s="32" t="n"/>
      <c r="K96" s="32" t="n"/>
      <c r="L96" s="32" t="n"/>
      <c r="M96" s="32" t="n"/>
      <c r="N96" s="32" t="n"/>
      <c r="O96" s="32" t="n"/>
    </row>
    <row r="97">
      <c r="A97" s="32" t="n"/>
      <c r="B97" s="32" t="n"/>
      <c r="C97" s="32" t="n"/>
      <c r="D97" s="32" t="n"/>
      <c r="E97" s="32" t="n"/>
      <c r="F97" s="32" t="n"/>
      <c r="G97" s="32" t="n"/>
      <c r="H97" s="32" t="n"/>
      <c r="I97" s="32" t="n"/>
      <c r="J97" s="32" t="n"/>
      <c r="K97" s="32" t="n"/>
      <c r="L97" s="32" t="n"/>
      <c r="M97" s="32" t="n"/>
      <c r="N97" s="32" t="n"/>
      <c r="O97" s="32" t="n"/>
    </row>
    <row r="98">
      <c r="A98" s="32" t="n"/>
      <c r="B98" s="32" t="n"/>
      <c r="C98" s="32" t="n"/>
      <c r="D98" s="32" t="n"/>
      <c r="E98" s="32" t="n"/>
      <c r="F98" s="32" t="n"/>
      <c r="G98" s="32" t="n"/>
      <c r="H98" s="32" t="n"/>
      <c r="I98" s="32" t="n"/>
      <c r="J98" s="32" t="n"/>
      <c r="K98" s="32" t="n"/>
      <c r="L98" s="32" t="n"/>
      <c r="M98" s="32" t="n"/>
      <c r="N98" s="32" t="n"/>
      <c r="O98" s="32" t="n"/>
    </row>
    <row r="99">
      <c r="A99" s="32" t="n"/>
      <c r="B99" s="32" t="n"/>
      <c r="C99" s="32" t="n"/>
      <c r="D99" s="32" t="n"/>
      <c r="E99" s="32" t="n"/>
      <c r="F99" s="32" t="n"/>
      <c r="G99" s="32" t="n"/>
      <c r="H99" s="32" t="n"/>
      <c r="I99" s="32" t="n"/>
      <c r="J99" s="32" t="n"/>
      <c r="K99" s="32" t="n"/>
      <c r="L99" s="32" t="n"/>
      <c r="M99" s="32" t="n"/>
      <c r="N99" s="32" t="n"/>
      <c r="O99" s="32" t="n"/>
    </row>
    <row r="100">
      <c r="A100" s="32" t="n"/>
      <c r="B100" s="32" t="n"/>
      <c r="C100" s="32" t="n"/>
      <c r="D100" s="32" t="n"/>
      <c r="E100" s="32" t="n"/>
      <c r="F100" s="32" t="n"/>
      <c r="G100" s="32" t="n"/>
      <c r="H100" s="32" t="n"/>
      <c r="I100" s="32" t="n"/>
      <c r="J100" s="32" t="n"/>
      <c r="K100" s="32" t="n"/>
      <c r="L100" s="32" t="n"/>
      <c r="M100" s="32" t="n"/>
      <c r="N100" s="32" t="n"/>
      <c r="O100" s="32" t="n"/>
    </row>
    <row r="101">
      <c r="A101" s="32" t="n"/>
      <c r="B101" s="32" t="n"/>
      <c r="C101" s="32" t="n"/>
      <c r="D101" s="32" t="n"/>
      <c r="E101" s="32" t="n"/>
      <c r="F101" s="32" t="n"/>
      <c r="G101" s="32" t="n"/>
      <c r="H101" s="32" t="n"/>
      <c r="I101" s="32" t="n"/>
      <c r="J101" s="32" t="n"/>
      <c r="K101" s="32" t="n"/>
      <c r="L101" s="32" t="n"/>
      <c r="M101" s="32" t="n"/>
      <c r="N101" s="32" t="n"/>
      <c r="O101" s="32" t="n"/>
    </row>
    <row r="102">
      <c r="A102" s="32" t="n"/>
      <c r="B102" s="32" t="n"/>
      <c r="C102" s="32" t="n"/>
      <c r="D102" s="32" t="n"/>
      <c r="E102" s="32" t="n"/>
      <c r="F102" s="32" t="n"/>
      <c r="G102" s="32" t="n"/>
      <c r="H102" s="32" t="n"/>
      <c r="I102" s="32" t="n"/>
      <c r="J102" s="32" t="n"/>
      <c r="K102" s="32" t="n"/>
      <c r="L102" s="32" t="n"/>
      <c r="M102" s="32" t="n"/>
      <c r="N102" s="32" t="n"/>
      <c r="O102" s="32" t="n"/>
    </row>
    <row r="103">
      <c r="A103" s="32" t="n"/>
      <c r="B103" s="32" t="n"/>
      <c r="C103" s="32" t="n"/>
      <c r="D103" s="32" t="n"/>
      <c r="E103" s="32" t="n"/>
      <c r="F103" s="32" t="n"/>
      <c r="G103" s="32" t="n"/>
      <c r="H103" s="32" t="n"/>
      <c r="I103" s="32" t="n"/>
      <c r="J103" s="32" t="n"/>
      <c r="K103" s="32" t="n"/>
      <c r="L103" s="32" t="n"/>
      <c r="M103" s="32" t="n"/>
      <c r="N103" s="32" t="n"/>
      <c r="O103" s="32" t="n"/>
    </row>
    <row r="104">
      <c r="A104" s="32" t="n"/>
      <c r="B104" s="32" t="n"/>
      <c r="C104" s="32" t="n"/>
      <c r="D104" s="32" t="n"/>
      <c r="E104" s="32" t="n"/>
      <c r="F104" s="32" t="n"/>
      <c r="G104" s="32" t="n"/>
      <c r="H104" s="32" t="n"/>
      <c r="I104" s="32" t="n"/>
      <c r="J104" s="32" t="n"/>
      <c r="K104" s="32" t="n"/>
      <c r="L104" s="32" t="n"/>
      <c r="M104" s="32" t="n"/>
      <c r="N104" s="32" t="n"/>
      <c r="O104" s="32" t="n"/>
    </row>
    <row r="105">
      <c r="A105" s="32" t="n"/>
      <c r="B105" s="32" t="n"/>
      <c r="C105" s="32" t="n"/>
      <c r="D105" s="32" t="n"/>
      <c r="E105" s="32" t="n"/>
      <c r="F105" s="32" t="n"/>
      <c r="G105" s="32" t="n"/>
      <c r="H105" s="32" t="n"/>
      <c r="I105" s="32" t="n"/>
      <c r="J105" s="32" t="n"/>
      <c r="K105" s="32" t="n"/>
      <c r="L105" s="32" t="n"/>
      <c r="M105" s="32" t="n"/>
      <c r="N105" s="32" t="n"/>
      <c r="O105" s="32" t="n"/>
    </row>
    <row r="106">
      <c r="A106" s="32" t="n"/>
      <c r="B106" s="32" t="n"/>
      <c r="C106" s="32" t="n"/>
      <c r="D106" s="32" t="n"/>
      <c r="E106" s="32" t="n"/>
      <c r="F106" s="32" t="n"/>
      <c r="G106" s="32" t="n"/>
      <c r="H106" s="32" t="n"/>
      <c r="I106" s="32" t="n"/>
      <c r="J106" s="32" t="n"/>
      <c r="K106" s="32" t="n"/>
      <c r="L106" s="32" t="n"/>
      <c r="M106" s="32" t="n"/>
      <c r="N106" s="32" t="n"/>
      <c r="O106" s="32" t="n"/>
    </row>
    <row r="107">
      <c r="A107" s="32" t="n"/>
      <c r="B107" s="32" t="n"/>
      <c r="C107" s="32" t="n"/>
      <c r="D107" s="32" t="n"/>
      <c r="E107" s="32" t="n"/>
      <c r="F107" s="32" t="n"/>
      <c r="G107" s="32" t="n"/>
      <c r="H107" s="32" t="n"/>
      <c r="I107" s="32" t="n"/>
      <c r="J107" s="32" t="n"/>
      <c r="K107" s="32" t="n"/>
      <c r="L107" s="32" t="n"/>
      <c r="M107" s="32" t="n"/>
      <c r="N107" s="32" t="n"/>
      <c r="O107" s="32" t="n"/>
    </row>
    <row r="108">
      <c r="A108" s="32" t="n"/>
      <c r="B108" s="32" t="n"/>
      <c r="C108" s="32" t="n"/>
      <c r="D108" s="32" t="n"/>
      <c r="E108" s="32" t="n"/>
      <c r="F108" s="32" t="n"/>
      <c r="G108" s="32" t="n"/>
      <c r="H108" s="32" t="n"/>
      <c r="I108" s="32" t="n"/>
      <c r="J108" s="32" t="n"/>
      <c r="K108" s="32" t="n"/>
      <c r="L108" s="32" t="n"/>
      <c r="M108" s="32" t="n"/>
      <c r="N108" s="32" t="n"/>
      <c r="O108" s="32" t="n"/>
    </row>
    <row r="109">
      <c r="A109" s="32" t="n"/>
      <c r="B109" s="32" t="n"/>
      <c r="C109" s="32" t="n"/>
      <c r="D109" s="32" t="n"/>
      <c r="E109" s="32" t="n"/>
      <c r="F109" s="32" t="n"/>
      <c r="G109" s="32" t="n"/>
      <c r="H109" s="32" t="n"/>
      <c r="I109" s="32" t="n"/>
      <c r="J109" s="32" t="n"/>
      <c r="K109" s="32" t="n"/>
      <c r="L109" s="32" t="n"/>
      <c r="M109" s="32" t="n"/>
      <c r="N109" s="32" t="n"/>
      <c r="O109" s="32" t="n"/>
    </row>
    <row r="110">
      <c r="A110" s="32" t="n"/>
      <c r="B110" s="32" t="n"/>
      <c r="C110" s="32" t="n"/>
      <c r="D110" s="32" t="n"/>
      <c r="E110" s="32" t="n"/>
      <c r="F110" s="32" t="n"/>
      <c r="G110" s="32" t="n"/>
      <c r="H110" s="32" t="n"/>
      <c r="I110" s="32" t="n"/>
      <c r="J110" s="32" t="n"/>
      <c r="K110" s="32" t="n"/>
      <c r="L110" s="32" t="n"/>
      <c r="M110" s="32" t="n"/>
      <c r="N110" s="32" t="n"/>
      <c r="O110" s="32" t="n"/>
    </row>
    <row r="111">
      <c r="A111" s="32" t="n"/>
      <c r="B111" s="32" t="n"/>
      <c r="C111" s="32" t="n"/>
      <c r="D111" s="32" t="n"/>
      <c r="E111" s="32" t="n"/>
      <c r="F111" s="32" t="n"/>
      <c r="G111" s="32" t="n"/>
      <c r="H111" s="32" t="n"/>
      <c r="I111" s="32" t="n"/>
      <c r="J111" s="32" t="n"/>
      <c r="K111" s="32" t="n"/>
      <c r="L111" s="32" t="n"/>
      <c r="M111" s="32" t="n"/>
      <c r="N111" s="32" t="n"/>
      <c r="O111" s="32" t="n"/>
    </row>
    <row r="112">
      <c r="A112" s="32" t="n"/>
      <c r="B112" s="32" t="n"/>
      <c r="C112" s="32" t="n"/>
      <c r="D112" s="32" t="n"/>
      <c r="E112" s="32" t="n"/>
      <c r="F112" s="32" t="n"/>
      <c r="G112" s="32" t="n"/>
      <c r="H112" s="32" t="n"/>
      <c r="I112" s="32" t="n"/>
      <c r="J112" s="32" t="n"/>
      <c r="K112" s="32" t="n"/>
      <c r="L112" s="32" t="n"/>
      <c r="M112" s="32" t="n"/>
      <c r="N112" s="32" t="n"/>
      <c r="O112" s="32" t="n"/>
    </row>
    <row r="113">
      <c r="A113" s="32" t="n"/>
      <c r="B113" s="32" t="n"/>
      <c r="C113" s="32" t="n"/>
      <c r="D113" s="32" t="n"/>
      <c r="E113" s="32" t="n"/>
      <c r="F113" s="32" t="n"/>
      <c r="G113" s="32" t="n"/>
      <c r="H113" s="32" t="n"/>
      <c r="I113" s="32" t="n"/>
      <c r="J113" s="32" t="n"/>
      <c r="K113" s="32" t="n"/>
      <c r="L113" s="32" t="n"/>
      <c r="M113" s="32" t="n"/>
      <c r="N113" s="32" t="n"/>
      <c r="O113" s="32" t="n"/>
    </row>
    <row r="114">
      <c r="A114" s="32" t="n"/>
      <c r="B114" s="32" t="n"/>
      <c r="C114" s="32" t="n"/>
      <c r="D114" s="32" t="n"/>
      <c r="E114" s="32" t="n"/>
      <c r="F114" s="32" t="n"/>
      <c r="G114" s="32" t="n"/>
      <c r="H114" s="32" t="n"/>
      <c r="I114" s="32" t="n"/>
      <c r="J114" s="32" t="n"/>
      <c r="K114" s="32" t="n"/>
      <c r="L114" s="32" t="n"/>
      <c r="M114" s="32" t="n"/>
      <c r="N114" s="32" t="n"/>
      <c r="O114" s="32" t="n"/>
    </row>
    <row r="115">
      <c r="A115" s="32" t="n"/>
      <c r="B115" s="32" t="n"/>
      <c r="C115" s="32" t="n"/>
      <c r="D115" s="32" t="n"/>
      <c r="E115" s="32" t="n"/>
      <c r="F115" s="32" t="n"/>
      <c r="G115" s="32" t="n"/>
      <c r="H115" s="32" t="n"/>
      <c r="I115" s="32" t="n"/>
      <c r="J115" s="32" t="n"/>
      <c r="K115" s="32" t="n"/>
      <c r="L115" s="32" t="n"/>
      <c r="M115" s="32" t="n"/>
      <c r="N115" s="32" t="n"/>
      <c r="O115" s="32" t="n"/>
    </row>
    <row r="116">
      <c r="A116" s="32" t="n"/>
      <c r="B116" s="32" t="n"/>
      <c r="C116" s="32" t="n"/>
      <c r="D116" s="32" t="n"/>
      <c r="E116" s="32" t="n"/>
      <c r="F116" s="32" t="n"/>
      <c r="G116" s="32" t="n"/>
      <c r="H116" s="32" t="n"/>
      <c r="I116" s="32" t="n"/>
      <c r="J116" s="32" t="n"/>
      <c r="K116" s="32" t="n"/>
      <c r="L116" s="32" t="n"/>
      <c r="M116" s="32" t="n"/>
      <c r="N116" s="32" t="n"/>
      <c r="O116" s="32" t="n"/>
    </row>
    <row r="117">
      <c r="A117" s="32" t="n"/>
      <c r="B117" s="32" t="n"/>
      <c r="C117" s="32" t="n"/>
      <c r="D117" s="32" t="n"/>
      <c r="E117" s="32" t="n"/>
      <c r="F117" s="32" t="n"/>
      <c r="G117" s="32" t="n"/>
      <c r="H117" s="32" t="n"/>
      <c r="I117" s="32" t="n"/>
      <c r="J117" s="32" t="n"/>
      <c r="K117" s="32" t="n"/>
      <c r="L117" s="32" t="n"/>
      <c r="M117" s="32" t="n"/>
      <c r="N117" s="32" t="n"/>
      <c r="O117" s="32" t="n"/>
    </row>
    <row r="118">
      <c r="A118" s="32" t="n"/>
      <c r="B118" s="32" t="n"/>
      <c r="C118" s="32" t="n"/>
      <c r="D118" s="32" t="n"/>
      <c r="E118" s="32" t="n"/>
      <c r="F118" s="32" t="n"/>
      <c r="G118" s="32" t="n"/>
      <c r="H118" s="32" t="n"/>
      <c r="I118" s="32" t="n"/>
      <c r="J118" s="32" t="n"/>
      <c r="K118" s="32" t="n"/>
      <c r="L118" s="32" t="n"/>
      <c r="M118" s="32" t="n"/>
      <c r="N118" s="32" t="n"/>
      <c r="O118" s="32" t="n"/>
    </row>
    <row r="119">
      <c r="A119" s="32" t="n"/>
      <c r="B119" s="32" t="n"/>
      <c r="C119" s="32" t="n"/>
      <c r="D119" s="32" t="n"/>
      <c r="E119" s="32" t="n"/>
      <c r="F119" s="32" t="n"/>
      <c r="G119" s="32" t="n"/>
      <c r="H119" s="32" t="n"/>
      <c r="I119" s="32" t="n"/>
      <c r="J119" s="32" t="n"/>
      <c r="K119" s="32" t="n"/>
      <c r="L119" s="32" t="n"/>
      <c r="M119" s="32" t="n"/>
      <c r="N119" s="32" t="n"/>
      <c r="O119" s="32" t="n"/>
    </row>
    <row r="120">
      <c r="A120" s="32" t="n"/>
      <c r="B120" s="32" t="n"/>
      <c r="C120" s="32" t="n"/>
      <c r="D120" s="32" t="n"/>
      <c r="E120" s="32" t="n"/>
      <c r="F120" s="32" t="n"/>
      <c r="G120" s="32" t="n"/>
      <c r="H120" s="32" t="n"/>
      <c r="I120" s="32" t="n"/>
      <c r="J120" s="32" t="n"/>
      <c r="K120" s="32" t="n"/>
      <c r="L120" s="32" t="n"/>
      <c r="M120" s="32" t="n"/>
      <c r="N120" s="32" t="n"/>
      <c r="O120" s="32" t="n"/>
    </row>
    <row r="121">
      <c r="A121" s="32" t="n"/>
      <c r="B121" s="32" t="n"/>
      <c r="C121" s="32" t="n"/>
      <c r="D121" s="32" t="n"/>
      <c r="E121" s="32" t="n"/>
      <c r="F121" s="32" t="n"/>
      <c r="G121" s="32" t="n"/>
      <c r="H121" s="32" t="n"/>
      <c r="I121" s="32" t="n"/>
      <c r="J121" s="32" t="n"/>
      <c r="K121" s="32" t="n"/>
      <c r="L121" s="32" t="n"/>
      <c r="M121" s="32" t="n"/>
      <c r="N121" s="32" t="n"/>
      <c r="O121" s="32" t="n"/>
    </row>
    <row r="122">
      <c r="A122" s="32" t="n"/>
      <c r="B122" s="32" t="n"/>
      <c r="C122" s="32" t="n"/>
      <c r="D122" s="32" t="n"/>
      <c r="E122" s="32" t="n"/>
      <c r="F122" s="32" t="n"/>
      <c r="G122" s="32" t="n"/>
      <c r="H122" s="32" t="n"/>
      <c r="I122" s="32" t="n"/>
      <c r="J122" s="32" t="n"/>
      <c r="K122" s="32" t="n"/>
      <c r="L122" s="32" t="n"/>
      <c r="M122" s="32" t="n"/>
      <c r="N122" s="32" t="n"/>
      <c r="O122" s="32" t="n"/>
    </row>
    <row r="123">
      <c r="A123" s="32" t="n"/>
      <c r="B123" s="32" t="n"/>
      <c r="C123" s="32" t="n"/>
      <c r="D123" s="32" t="n"/>
      <c r="E123" s="32" t="n"/>
      <c r="F123" s="32" t="n"/>
      <c r="G123" s="32" t="n"/>
      <c r="H123" s="32" t="n"/>
      <c r="I123" s="32" t="n"/>
      <c r="J123" s="32" t="n"/>
      <c r="K123" s="32" t="n"/>
      <c r="L123" s="32" t="n"/>
      <c r="M123" s="32" t="n"/>
      <c r="N123" s="32" t="n"/>
      <c r="O123" s="32" t="n"/>
    </row>
    <row r="124">
      <c r="A124" s="32" t="n"/>
      <c r="B124" s="32" t="n"/>
      <c r="C124" s="32" t="n"/>
      <c r="D124" s="32" t="n"/>
      <c r="E124" s="32" t="n"/>
      <c r="F124" s="32" t="n"/>
      <c r="G124" s="32" t="n"/>
      <c r="H124" s="32" t="n"/>
      <c r="I124" s="32" t="n"/>
      <c r="J124" s="32" t="n"/>
      <c r="K124" s="32" t="n"/>
      <c r="L124" s="32" t="n"/>
      <c r="M124" s="32" t="n"/>
      <c r="N124" s="32" t="n"/>
      <c r="O124" s="32" t="n"/>
    </row>
    <row r="125">
      <c r="A125" s="32" t="n"/>
      <c r="B125" s="32" t="n"/>
      <c r="C125" s="32" t="n"/>
      <c r="D125" s="32" t="n"/>
      <c r="E125" s="32" t="n"/>
      <c r="F125" s="32" t="n"/>
      <c r="G125" s="32" t="n"/>
      <c r="H125" s="32" t="n"/>
      <c r="I125" s="32" t="n"/>
      <c r="J125" s="32" t="n"/>
      <c r="K125" s="32" t="n"/>
      <c r="L125" s="32" t="n"/>
      <c r="M125" s="32" t="n"/>
      <c r="N125" s="32" t="n"/>
      <c r="O125" s="32" t="n"/>
    </row>
    <row r="126">
      <c r="A126" s="32" t="n"/>
      <c r="B126" s="32" t="n"/>
      <c r="C126" s="32" t="n"/>
      <c r="D126" s="32" t="n"/>
      <c r="E126" s="32" t="n"/>
      <c r="F126" s="32" t="n"/>
      <c r="G126" s="32" t="n"/>
      <c r="H126" s="32" t="n"/>
      <c r="I126" s="32" t="n"/>
      <c r="J126" s="32" t="n"/>
      <c r="K126" s="32" t="n"/>
      <c r="L126" s="32" t="n"/>
      <c r="M126" s="32" t="n"/>
      <c r="N126" s="32" t="n"/>
      <c r="O126" s="32" t="n"/>
    </row>
    <row r="127">
      <c r="A127" s="32" t="n"/>
      <c r="B127" s="32" t="n"/>
      <c r="C127" s="32" t="n"/>
      <c r="D127" s="32" t="n"/>
      <c r="E127" s="32" t="n"/>
      <c r="F127" s="32" t="n"/>
      <c r="G127" s="32" t="n"/>
      <c r="H127" s="32" t="n"/>
      <c r="I127" s="32" t="n"/>
      <c r="J127" s="32" t="n"/>
      <c r="K127" s="32" t="n"/>
      <c r="L127" s="32" t="n"/>
      <c r="M127" s="32" t="n"/>
      <c r="N127" s="32" t="n"/>
      <c r="O127" s="32" t="n"/>
    </row>
    <row r="128">
      <c r="A128" s="32" t="n"/>
      <c r="B128" s="32" t="n"/>
      <c r="C128" s="32" t="n"/>
      <c r="D128" s="32" t="n"/>
      <c r="E128" s="32" t="n"/>
      <c r="F128" s="32" t="n"/>
      <c r="G128" s="32" t="n"/>
      <c r="H128" s="32" t="n"/>
      <c r="I128" s="32" t="n"/>
      <c r="J128" s="32" t="n"/>
      <c r="K128" s="32" t="n"/>
      <c r="L128" s="32" t="n"/>
      <c r="M128" s="32" t="n"/>
      <c r="N128" s="32" t="n"/>
      <c r="O128" s="32" t="n"/>
    </row>
    <row r="129">
      <c r="A129" s="32" t="n"/>
      <c r="B129" s="32" t="n"/>
      <c r="C129" s="32" t="n"/>
      <c r="D129" s="32" t="n"/>
      <c r="E129" s="32" t="n"/>
      <c r="F129" s="32" t="n"/>
      <c r="G129" s="32" t="n"/>
      <c r="H129" s="32" t="n"/>
      <c r="I129" s="32" t="n"/>
      <c r="J129" s="32" t="n"/>
      <c r="K129" s="32" t="n"/>
      <c r="L129" s="32" t="n"/>
      <c r="M129" s="32" t="n"/>
      <c r="N129" s="32" t="n"/>
      <c r="O129" s="32" t="n"/>
    </row>
    <row r="130">
      <c r="A130" s="32" t="n"/>
      <c r="B130" s="32" t="n"/>
      <c r="C130" s="32" t="n"/>
      <c r="D130" s="32" t="n"/>
      <c r="E130" s="32" t="n"/>
      <c r="F130" s="32" t="n"/>
      <c r="G130" s="32" t="n"/>
      <c r="H130" s="32" t="n"/>
      <c r="I130" s="32" t="n"/>
      <c r="J130" s="32" t="n"/>
      <c r="K130" s="32" t="n"/>
      <c r="L130" s="32" t="n"/>
      <c r="M130" s="32" t="n"/>
      <c r="N130" s="32" t="n"/>
      <c r="O130" s="32" t="n"/>
    </row>
    <row r="131">
      <c r="A131" s="32" t="n"/>
      <c r="B131" s="32" t="n"/>
      <c r="C131" s="32" t="n"/>
      <c r="D131" s="32" t="n"/>
      <c r="E131" s="32" t="n"/>
      <c r="F131" s="32" t="n"/>
      <c r="G131" s="32" t="n"/>
      <c r="H131" s="32" t="n"/>
      <c r="I131" s="32" t="n"/>
      <c r="J131" s="32" t="n"/>
      <c r="K131" s="32" t="n"/>
      <c r="L131" s="32" t="n"/>
      <c r="M131" s="32" t="n"/>
      <c r="N131" s="32" t="n"/>
      <c r="O131" s="32" t="n"/>
    </row>
    <row r="132">
      <c r="A132" s="32" t="n"/>
      <c r="B132" s="32" t="n"/>
      <c r="C132" s="32" t="n"/>
      <c r="D132" s="32" t="n"/>
      <c r="E132" s="32" t="n"/>
      <c r="F132" s="32" t="n"/>
      <c r="G132" s="32" t="n"/>
      <c r="H132" s="32" t="n"/>
      <c r="I132" s="32" t="n"/>
      <c r="J132" s="32" t="n"/>
      <c r="K132" s="32" t="n"/>
      <c r="L132" s="32" t="n"/>
      <c r="M132" s="32" t="n"/>
      <c r="N132" s="32" t="n"/>
      <c r="O132" s="32" t="n"/>
    </row>
    <row r="133">
      <c r="A133" s="32" t="n"/>
      <c r="B133" s="32" t="n"/>
      <c r="C133" s="32" t="n"/>
      <c r="D133" s="32" t="n"/>
      <c r="E133" s="32" t="n"/>
      <c r="F133" s="32" t="n"/>
      <c r="G133" s="32" t="n"/>
      <c r="H133" s="32" t="n"/>
      <c r="I133" s="32" t="n"/>
      <c r="J133" s="32" t="n"/>
      <c r="K133" s="32" t="n"/>
      <c r="L133" s="32" t="n"/>
      <c r="M133" s="32" t="n"/>
      <c r="N133" s="32" t="n"/>
      <c r="O133" s="32" t="n"/>
    </row>
    <row r="134">
      <c r="A134" s="32" t="n"/>
      <c r="B134" s="32" t="n"/>
      <c r="C134" s="32" t="n"/>
      <c r="D134" s="32" t="n"/>
      <c r="E134" s="32" t="n"/>
      <c r="F134" s="32" t="n"/>
      <c r="G134" s="32" t="n"/>
      <c r="H134" s="32" t="n"/>
      <c r="I134" s="32" t="n"/>
      <c r="J134" s="32" t="n"/>
      <c r="K134" s="32" t="n"/>
      <c r="L134" s="32" t="n"/>
      <c r="M134" s="32" t="n"/>
      <c r="N134" s="32" t="n"/>
      <c r="O134" s="32" t="n"/>
    </row>
    <row r="135">
      <c r="A135" s="32" t="n"/>
      <c r="B135" s="32" t="n"/>
      <c r="C135" s="32" t="n"/>
      <c r="D135" s="32" t="n"/>
      <c r="E135" s="32" t="n"/>
      <c r="F135" s="32" t="n"/>
      <c r="G135" s="32" t="n"/>
      <c r="H135" s="32" t="n"/>
      <c r="I135" s="32" t="n"/>
      <c r="J135" s="32" t="n"/>
      <c r="K135" s="32" t="n"/>
      <c r="L135" s="32" t="n"/>
      <c r="M135" s="32" t="n"/>
      <c r="N135" s="32" t="n"/>
      <c r="O135" s="32" t="n"/>
    </row>
    <row r="136">
      <c r="A136" s="32" t="n"/>
      <c r="B136" s="32" t="n"/>
      <c r="C136" s="32" t="n"/>
      <c r="D136" s="32" t="n"/>
      <c r="E136" s="32" t="n"/>
      <c r="F136" s="32" t="n"/>
      <c r="G136" s="32" t="n"/>
      <c r="H136" s="32" t="n"/>
      <c r="I136" s="32" t="n"/>
      <c r="J136" s="32" t="n"/>
      <c r="K136" s="32" t="n"/>
      <c r="L136" s="32" t="n"/>
      <c r="M136" s="32" t="n"/>
      <c r="N136" s="32" t="n"/>
      <c r="O136" s="32" t="n"/>
    </row>
    <row r="137">
      <c r="A137" s="32" t="n"/>
      <c r="B137" s="32" t="n"/>
      <c r="C137" s="32" t="n"/>
      <c r="D137" s="32" t="n"/>
      <c r="E137" s="32" t="n"/>
      <c r="F137" s="32" t="n"/>
      <c r="G137" s="32" t="n"/>
      <c r="H137" s="32" t="n"/>
      <c r="I137" s="32" t="n"/>
      <c r="J137" s="32" t="n"/>
      <c r="K137" s="32" t="n"/>
      <c r="L137" s="32" t="n"/>
      <c r="M137" s="32" t="n"/>
      <c r="N137" s="32" t="n"/>
      <c r="O137" s="32" t="n"/>
    </row>
    <row r="138">
      <c r="A138" s="32" t="n"/>
      <c r="B138" s="32" t="n"/>
      <c r="C138" s="32" t="n"/>
      <c r="D138" s="32" t="n"/>
      <c r="E138" s="32" t="n"/>
      <c r="F138" s="32" t="n"/>
      <c r="G138" s="32" t="n"/>
      <c r="H138" s="32" t="n"/>
      <c r="I138" s="32" t="n"/>
      <c r="J138" s="32" t="n"/>
      <c r="K138" s="32" t="n"/>
      <c r="L138" s="32" t="n"/>
      <c r="M138" s="32" t="n"/>
      <c r="N138" s="32" t="n"/>
      <c r="O138" s="32" t="n"/>
    </row>
    <row r="139">
      <c r="A139" s="32" t="n"/>
      <c r="B139" s="32" t="n"/>
      <c r="C139" s="32" t="n"/>
      <c r="D139" s="32" t="n"/>
      <c r="E139" s="32" t="n"/>
      <c r="F139" s="32" t="n"/>
      <c r="G139" s="32" t="n"/>
      <c r="H139" s="32" t="n"/>
      <c r="I139" s="32" t="n"/>
      <c r="J139" s="32" t="n"/>
      <c r="K139" s="32" t="n"/>
      <c r="L139" s="32" t="n"/>
      <c r="M139" s="32" t="n"/>
      <c r="N139" s="32" t="n"/>
      <c r="O139" s="32" t="n"/>
    </row>
    <row r="140">
      <c r="A140" s="32" t="n"/>
      <c r="B140" s="32" t="n"/>
      <c r="C140" s="32" t="n"/>
      <c r="D140" s="32" t="n"/>
      <c r="E140" s="32" t="n"/>
      <c r="F140" s="32" t="n"/>
      <c r="G140" s="32" t="n"/>
      <c r="H140" s="32" t="n"/>
      <c r="I140" s="32" t="n"/>
      <c r="J140" s="32" t="n"/>
      <c r="K140" s="32" t="n"/>
      <c r="L140" s="32" t="n"/>
      <c r="M140" s="32" t="n"/>
      <c r="N140" s="32" t="n"/>
      <c r="O140" s="32" t="n"/>
    </row>
  </sheetData>
  <mergeCells count="2">
    <mergeCell ref="A1:O1"/>
    <mergeCell ref="A2:O2"/>
  </mergeCells>
  <conditionalFormatting sqref="G5:G140">
    <cfRule type="expression" priority="1" dxfId="0">
      <formula>G5="PASS"</formula>
    </cfRule>
    <cfRule type="expression" priority="2" dxfId="1">
      <formula>G5="FAIL"</formula>
    </cfRule>
    <cfRule type="expression" priority="3" dxfId="2">
      <formula>G5="RETEST REQUIRED"</formula>
    </cfRule>
    <cfRule type="expression" priority="4" dxfId="3">
      <formula>G5="BLOCKED"</formula>
    </cfRule>
    <cfRule type="expression" priority="5" dxfId="4">
      <formula>G5="PENDING"</formula>
    </cfRule>
  </conditionalFormatting>
  <conditionalFormatting sqref="K5:K140">
    <cfRule type="expression" priority="6" dxfId="5">
      <formula>K5="Critical"</formula>
    </cfRule>
    <cfRule type="expression" priority="7" dxfId="3">
      <formula>K5="High"</formula>
    </cfRule>
    <cfRule type="expression" priority="8" dxfId="2">
      <formula>K5="Medium"</formula>
    </cfRule>
  </conditionalFormatting>
  <dataValidations count="4">
    <dataValidation sqref="G5:G140" showDropDown="0" showInputMessage="0" showErrorMessage="0" allowBlank="0" type="list">
      <formula1>"PENDING,PASS,FAIL,N/A,RETEST REQUIRED,BLOCKED"</formula1>
    </dataValidation>
    <dataValidation sqref="K5:K140" showDropDown="0" showInputMessage="0" showErrorMessage="0" allowBlank="0" type="list">
      <formula1>"Low,Medium,High,Critical"</formula1>
    </dataValidation>
    <dataValidation sqref="L5:L140" showDropDown="0" showInputMessage="0" showErrorMessage="0" allowBlank="0" type="list">
      <formula1>"Hardik,Manus,ChatGPT,Hardware,Home Assistant,LocalTuya,Firmware,Other"</formula1>
    </dataValidation>
    <dataValidation sqref="M5:N140" showDropDown="0" showInputMessage="0" showErrorMessage="0" allowBlank="0" type="list">
      <formula1>"Yes,No,N/A"</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O140"/>
  <sheetViews>
    <sheetView workbookViewId="0">
      <pane ySplit="4" topLeftCell="A5" activePane="bottomLeft" state="frozen"/>
      <selection pane="bottomLeft" activeCell="A1" sqref="A1"/>
    </sheetView>
  </sheetViews>
  <sheetFormatPr baseColWidth="8" defaultRowHeight="15"/>
  <cols>
    <col width="9" customWidth="1" min="1" max="1"/>
    <col width="28" customWidth="1" min="2" max="2"/>
    <col width="15" customWidth="1" min="3" max="3"/>
    <col width="29" customWidth="1" min="4" max="4"/>
    <col width="40" customWidth="1" min="5" max="5"/>
    <col width="40" customWidth="1" min="6" max="6"/>
    <col width="9" customWidth="1" min="7" max="7"/>
    <col width="15" customWidth="1" min="8" max="8"/>
    <col width="13" customWidth="1" min="9" max="9"/>
    <col width="14" customWidth="1" min="10" max="10"/>
    <col width="10" customWidth="1" min="11" max="11"/>
    <col width="16" customWidth="1" min="12" max="12"/>
    <col width="11" customWidth="1" min="13" max="13"/>
    <col width="16" customWidth="1" min="14" max="14"/>
    <col width="13" customWidth="1" min="15" max="15"/>
  </cols>
  <sheetData>
    <row r="1" ht="28" customHeight="1">
      <c r="A1" s="50" t="inlineStr">
        <is>
          <t>Stage 6 — Bedside Gesture Validation</t>
        </is>
      </c>
      <c r="B1" s="51" t="n"/>
      <c r="C1" s="51" t="n"/>
      <c r="D1" s="51" t="n"/>
      <c r="E1" s="51" t="n"/>
      <c r="F1" s="51" t="n"/>
      <c r="G1" s="51" t="n"/>
      <c r="H1" s="51" t="n"/>
      <c r="I1" s="51" t="n"/>
      <c r="J1" s="51" t="n"/>
      <c r="K1" s="51" t="n"/>
      <c r="L1" s="51" t="n"/>
      <c r="M1" s="51" t="n"/>
      <c r="N1" s="51" t="n"/>
      <c r="O1" s="51" t="n"/>
    </row>
    <row r="2" ht="36" customHeight="1">
      <c r="A2" s="52" t="inlineStr">
        <is>
          <t>Validate APDS left/right behavior and no accidental/unsupported v1 behavior.</t>
        </is>
      </c>
      <c r="B2" s="53" t="n"/>
      <c r="C2" s="53" t="n"/>
      <c r="D2" s="53" t="n"/>
      <c r="E2" s="53" t="n"/>
      <c r="F2" s="53" t="n"/>
      <c r="G2" s="53" t="n"/>
      <c r="H2" s="53" t="n"/>
      <c r="I2" s="53" t="n"/>
      <c r="J2" s="53" t="n"/>
      <c r="K2" s="53" t="n"/>
      <c r="L2" s="53" t="n"/>
      <c r="M2" s="53" t="n"/>
      <c r="N2" s="53" t="n"/>
      <c r="O2" s="53" t="n"/>
    </row>
    <row r="4" ht="36" customHeight="1">
      <c r="A4" s="42" t="inlineStr">
        <is>
          <t>Step ID</t>
        </is>
      </c>
      <c r="B4" s="42" t="inlineStr">
        <is>
          <t>Stage</t>
        </is>
      </c>
      <c r="C4" s="42" t="inlineStr">
        <is>
          <t>Category</t>
        </is>
      </c>
      <c r="D4" s="42" t="inlineStr">
        <is>
          <t>Step / Test</t>
        </is>
      </c>
      <c r="E4" s="42" t="inlineStr">
        <is>
          <t>Command / Action</t>
        </is>
      </c>
      <c r="F4" s="42" t="inlineStr">
        <is>
          <t>Expected Result</t>
        </is>
      </c>
      <c r="G4" s="42" t="inlineStr">
        <is>
          <t>Status</t>
        </is>
      </c>
      <c r="H4" s="42" t="inlineStr">
        <is>
          <t>Actual Result</t>
        </is>
      </c>
      <c r="I4" s="42" t="inlineStr">
        <is>
          <t>Observation</t>
        </is>
      </c>
      <c r="J4" s="42" t="inlineStr">
        <is>
          <t>Evidence Ref</t>
        </is>
      </c>
      <c r="K4" s="42" t="inlineStr">
        <is>
          <t>Severity</t>
        </is>
      </c>
      <c r="L4" s="42" t="inlineStr">
        <is>
          <t>Owner</t>
        </is>
      </c>
      <c r="M4" s="42" t="inlineStr">
        <is>
          <t>Blocking?</t>
        </is>
      </c>
      <c r="N4" s="42" t="inlineStr">
        <is>
          <t>AI Fix Needed?</t>
        </is>
      </c>
      <c r="O4" s="42" t="inlineStr">
        <is>
          <t>Next Action</t>
        </is>
      </c>
    </row>
    <row r="5">
      <c r="A5" s="54" t="inlineStr">
        <is>
          <t>BED-01</t>
        </is>
      </c>
      <c r="B5" s="44" t="inlineStr">
        <is>
          <t>Stage 6 — Bedside Gestures</t>
        </is>
      </c>
      <c r="C5" s="44" t="inlineStr">
        <is>
          <t>Gesture</t>
        </is>
      </c>
      <c r="D5" s="44" t="inlineStr">
        <is>
          <t>LEFT gesture</t>
        </is>
      </c>
      <c r="E5" s="44" t="inlineStr">
        <is>
          <t>Swipe left over APDS-9960</t>
        </is>
      </c>
      <c r="F5" s="44" t="inlineStr">
        <is>
          <t>light.bedroom_group turns OFF</t>
        </is>
      </c>
      <c r="G5" s="55" t="inlineStr">
        <is>
          <t>PENDING</t>
        </is>
      </c>
      <c r="H5" s="44" t="str"/>
      <c r="I5" s="44" t="str"/>
      <c r="J5" s="44" t="str"/>
      <c r="K5" s="60" t="inlineStr">
        <is>
          <t>Critical</t>
        </is>
      </c>
      <c r="L5" s="44" t="inlineStr">
        <is>
          <t>Firmware</t>
        </is>
      </c>
      <c r="M5" s="44" t="inlineStr">
        <is>
          <t>Yes</t>
        </is>
      </c>
      <c r="N5" s="44" t="inlineStr">
        <is>
          <t>No</t>
        </is>
      </c>
      <c r="O5" s="44" t="str"/>
    </row>
    <row r="6">
      <c r="A6" s="57" t="inlineStr">
        <is>
          <t>BED-02</t>
        </is>
      </c>
      <c r="B6" s="43" t="inlineStr">
        <is>
          <t>Stage 6 — Bedside Gestures</t>
        </is>
      </c>
      <c r="C6" s="43" t="inlineStr">
        <is>
          <t>Gesture</t>
        </is>
      </c>
      <c r="D6" s="43" t="inlineStr">
        <is>
          <t>RIGHT gesture</t>
        </is>
      </c>
      <c r="E6" s="43" t="inlineStr">
        <is>
          <t>Swipe right over APDS-9960</t>
        </is>
      </c>
      <c r="F6" s="43" t="inlineStr">
        <is>
          <t>light.bedroom_group turns ON</t>
        </is>
      </c>
      <c r="G6" s="55" t="inlineStr">
        <is>
          <t>PENDING</t>
        </is>
      </c>
      <c r="H6" s="43" t="str"/>
      <c r="I6" s="43" t="str"/>
      <c r="J6" s="43" t="str"/>
      <c r="K6" s="59" t="inlineStr">
        <is>
          <t>Critical</t>
        </is>
      </c>
      <c r="L6" s="43" t="inlineStr">
        <is>
          <t>Firmware</t>
        </is>
      </c>
      <c r="M6" s="43" t="inlineStr">
        <is>
          <t>Yes</t>
        </is>
      </c>
      <c r="N6" s="43" t="inlineStr">
        <is>
          <t>No</t>
        </is>
      </c>
      <c r="O6" s="43" t="str"/>
    </row>
    <row r="7">
      <c r="A7" s="54" t="inlineStr">
        <is>
          <t>BED-03</t>
        </is>
      </c>
      <c r="B7" s="44" t="inlineStr">
        <is>
          <t>Stage 6 — Bedside Gestures</t>
        </is>
      </c>
      <c r="C7" s="44" t="inlineStr">
        <is>
          <t>Cooldown</t>
        </is>
      </c>
      <c r="D7" s="44" t="inlineStr">
        <is>
          <t>Gesture cooldown</t>
        </is>
      </c>
      <c r="E7" s="44" t="inlineStr">
        <is>
          <t>Repeat gestures quickly</t>
        </is>
      </c>
      <c r="F7" s="44" t="inlineStr">
        <is>
          <t>Cooldown prevents repeated spam triggers</t>
        </is>
      </c>
      <c r="G7" s="55" t="inlineStr">
        <is>
          <t>PENDING</t>
        </is>
      </c>
      <c r="H7" s="44" t="str"/>
      <c r="I7" s="44" t="str"/>
      <c r="J7" s="44" t="str"/>
      <c r="K7" s="56" t="inlineStr">
        <is>
          <t>High</t>
        </is>
      </c>
      <c r="L7" s="44" t="inlineStr">
        <is>
          <t>Firmware</t>
        </is>
      </c>
      <c r="M7" s="44" t="inlineStr">
        <is>
          <t>No</t>
        </is>
      </c>
      <c r="N7" s="44" t="inlineStr">
        <is>
          <t>No</t>
        </is>
      </c>
      <c r="O7" s="44" t="str"/>
    </row>
    <row r="8">
      <c r="A8" s="57" t="inlineStr">
        <is>
          <t>BED-04</t>
        </is>
      </c>
      <c r="B8" s="43" t="inlineStr">
        <is>
          <t>Stage 6 — Bedside Gestures</t>
        </is>
      </c>
      <c r="C8" s="43" t="inlineStr">
        <is>
          <t>False trigger</t>
        </is>
      </c>
      <c r="D8" s="43" t="inlineStr">
        <is>
          <t>No false triggers</t>
        </is>
      </c>
      <c r="E8" s="43" t="inlineStr">
        <is>
          <t>Move nearby normally for several minutes</t>
        </is>
      </c>
      <c r="F8" s="43" t="inlineStr">
        <is>
          <t>No accidental light changes</t>
        </is>
      </c>
      <c r="G8" s="55" t="inlineStr">
        <is>
          <t>PENDING</t>
        </is>
      </c>
      <c r="H8" s="43" t="str"/>
      <c r="I8" s="43" t="str"/>
      <c r="J8" s="43" t="str"/>
      <c r="K8" s="58" t="inlineStr">
        <is>
          <t>High</t>
        </is>
      </c>
      <c r="L8" s="43" t="inlineStr">
        <is>
          <t>Hardware</t>
        </is>
      </c>
      <c r="M8" s="43" t="inlineStr">
        <is>
          <t>No</t>
        </is>
      </c>
      <c r="N8" s="43" t="inlineStr">
        <is>
          <t>No</t>
        </is>
      </c>
      <c r="O8" s="43" t="str"/>
    </row>
    <row r="9">
      <c r="A9" s="54" t="inlineStr">
        <is>
          <t>BED-05</t>
        </is>
      </c>
      <c r="B9" s="44" t="inlineStr">
        <is>
          <t>Stage 6 — Bedside Gestures</t>
        </is>
      </c>
      <c r="C9" s="44" t="inlineStr">
        <is>
          <t>HA State</t>
        </is>
      </c>
      <c r="D9" s="44" t="inlineStr">
        <is>
          <t>HA reflects gesture changes</t>
        </is>
      </c>
      <c r="E9" s="44" t="inlineStr">
        <is>
          <t>Watch light.bedroom_group</t>
        </is>
      </c>
      <c r="F9" s="44" t="inlineStr">
        <is>
          <t>HA state updates after gesture</t>
        </is>
      </c>
      <c r="G9" s="55" t="inlineStr">
        <is>
          <t>PENDING</t>
        </is>
      </c>
      <c r="H9" s="44" t="str"/>
      <c r="I9" s="44" t="str"/>
      <c r="J9" s="44" t="str"/>
      <c r="K9" s="60" t="inlineStr">
        <is>
          <t>Critical</t>
        </is>
      </c>
      <c r="L9" s="44" t="inlineStr">
        <is>
          <t>Home Assistant</t>
        </is>
      </c>
      <c r="M9" s="44" t="inlineStr">
        <is>
          <t>Yes</t>
        </is>
      </c>
      <c r="N9" s="44" t="inlineStr">
        <is>
          <t>No</t>
        </is>
      </c>
      <c r="O9" s="44" t="str"/>
    </row>
    <row r="10">
      <c r="A10" s="57" t="inlineStr">
        <is>
          <t>BED-06</t>
        </is>
      </c>
      <c r="B10" s="43" t="inlineStr">
        <is>
          <t>Stage 6 — Bedside Gestures</t>
        </is>
      </c>
      <c r="C10" s="43" t="inlineStr">
        <is>
          <t>Scope</t>
        </is>
      </c>
      <c r="D10" s="43" t="inlineStr">
        <is>
          <t>No VL53L4CD v1 action</t>
        </is>
      </c>
      <c r="E10" s="43" t="inlineStr">
        <is>
          <t>Try hand-hold if sensor present</t>
        </is>
      </c>
      <c r="F10" s="43" t="inlineStr">
        <is>
          <t>No v1 action unless implemented later</t>
        </is>
      </c>
      <c r="G10" s="55" t="inlineStr">
        <is>
          <t>PENDING</t>
        </is>
      </c>
      <c r="H10" s="43" t="str"/>
      <c r="I10" s="43" t="str"/>
      <c r="J10" s="43" t="str"/>
      <c r="K10" s="43" t="inlineStr">
        <is>
          <t>Medium</t>
        </is>
      </c>
      <c r="L10" s="43" t="inlineStr">
        <is>
          <t>Firmware</t>
        </is>
      </c>
      <c r="M10" s="43" t="inlineStr">
        <is>
          <t>No</t>
        </is>
      </c>
      <c r="N10" s="43" t="inlineStr">
        <is>
          <t>No</t>
        </is>
      </c>
      <c r="O10" s="43" t="str"/>
    </row>
    <row r="11">
      <c r="A11" s="54" t="inlineStr">
        <is>
          <t>BED-07</t>
        </is>
      </c>
      <c r="B11" s="44" t="inlineStr">
        <is>
          <t>Stage 6 — Bedside Gestures</t>
        </is>
      </c>
      <c r="C11" s="44" t="inlineStr">
        <is>
          <t>Scope</t>
        </is>
      </c>
      <c r="D11" s="44" t="inlineStr">
        <is>
          <t>No sensor fusion</t>
        </is>
      </c>
      <c r="E11" s="44" t="inlineStr">
        <is>
          <t>Observe behavior/logs</t>
        </is>
      </c>
      <c r="F11" s="44" t="inlineStr">
        <is>
          <t>APDS-only bedside behavior</t>
        </is>
      </c>
      <c r="G11" s="55" t="inlineStr">
        <is>
          <t>PENDING</t>
        </is>
      </c>
      <c r="H11" s="44" t="str"/>
      <c r="I11" s="44" t="str"/>
      <c r="J11" s="44" t="str"/>
      <c r="K11" s="44" t="inlineStr">
        <is>
          <t>Medium</t>
        </is>
      </c>
      <c r="L11" s="44" t="inlineStr">
        <is>
          <t>Firmware</t>
        </is>
      </c>
      <c r="M11" s="44" t="inlineStr">
        <is>
          <t>No</t>
        </is>
      </c>
      <c r="N11" s="44" t="inlineStr">
        <is>
          <t>No</t>
        </is>
      </c>
      <c r="O11" s="44" t="str"/>
    </row>
    <row r="12">
      <c r="A12" s="32" t="n"/>
      <c r="B12" s="32" t="n"/>
      <c r="C12" s="32" t="n"/>
      <c r="D12" s="32" t="n"/>
      <c r="E12" s="32" t="n"/>
      <c r="F12" s="32" t="n"/>
      <c r="G12" s="32" t="n"/>
      <c r="H12" s="32" t="n"/>
      <c r="I12" s="32" t="n"/>
      <c r="J12" s="32" t="n"/>
      <c r="K12" s="32" t="n"/>
      <c r="L12" s="32" t="n"/>
      <c r="M12" s="32" t="n"/>
      <c r="N12" s="32" t="n"/>
      <c r="O12" s="32" t="n"/>
    </row>
    <row r="13">
      <c r="A13" s="32" t="n"/>
      <c r="B13" s="32" t="n"/>
      <c r="C13" s="32" t="n"/>
      <c r="D13" s="32" t="n"/>
      <c r="E13" s="32" t="n"/>
      <c r="F13" s="32" t="n"/>
      <c r="G13" s="32" t="n"/>
      <c r="H13" s="32" t="n"/>
      <c r="I13" s="32" t="n"/>
      <c r="J13" s="32" t="n"/>
      <c r="K13" s="32" t="n"/>
      <c r="L13" s="32" t="n"/>
      <c r="M13" s="32" t="n"/>
      <c r="N13" s="32" t="n"/>
      <c r="O13" s="32" t="n"/>
    </row>
    <row r="14">
      <c r="A14" s="32" t="n"/>
      <c r="B14" s="32" t="n"/>
      <c r="C14" s="32" t="n"/>
      <c r="D14" s="32" t="n"/>
      <c r="E14" s="32" t="n"/>
      <c r="F14" s="32" t="n"/>
      <c r="G14" s="32" t="n"/>
      <c r="H14" s="32" t="n"/>
      <c r="I14" s="32" t="n"/>
      <c r="J14" s="32" t="n"/>
      <c r="K14" s="32" t="n"/>
      <c r="L14" s="32" t="n"/>
      <c r="M14" s="32" t="n"/>
      <c r="N14" s="32" t="n"/>
      <c r="O14" s="32" t="n"/>
    </row>
    <row r="15">
      <c r="A15" s="32" t="n"/>
      <c r="B15" s="32" t="n"/>
      <c r="C15" s="32" t="n"/>
      <c r="D15" s="32" t="n"/>
      <c r="E15" s="32" t="n"/>
      <c r="F15" s="32" t="n"/>
      <c r="G15" s="32" t="n"/>
      <c r="H15" s="32" t="n"/>
      <c r="I15" s="32" t="n"/>
      <c r="J15" s="32" t="n"/>
      <c r="K15" s="32" t="n"/>
      <c r="L15" s="32" t="n"/>
      <c r="M15" s="32" t="n"/>
      <c r="N15" s="32" t="n"/>
      <c r="O15" s="32" t="n"/>
    </row>
    <row r="16">
      <c r="A16" s="32" t="n"/>
      <c r="B16" s="32" t="n"/>
      <c r="C16" s="32" t="n"/>
      <c r="D16" s="32" t="n"/>
      <c r="E16" s="32" t="n"/>
      <c r="F16" s="32" t="n"/>
      <c r="G16" s="32" t="n"/>
      <c r="H16" s="32" t="n"/>
      <c r="I16" s="32" t="n"/>
      <c r="J16" s="32" t="n"/>
      <c r="K16" s="32" t="n"/>
      <c r="L16" s="32" t="n"/>
      <c r="M16" s="32" t="n"/>
      <c r="N16" s="32" t="n"/>
      <c r="O16" s="32" t="n"/>
    </row>
    <row r="17">
      <c r="A17" s="32" t="n"/>
      <c r="B17" s="32" t="n"/>
      <c r="C17" s="32" t="n"/>
      <c r="D17" s="32" t="n"/>
      <c r="E17" s="32" t="n"/>
      <c r="F17" s="32" t="n"/>
      <c r="G17" s="32" t="n"/>
      <c r="H17" s="32" t="n"/>
      <c r="I17" s="32" t="n"/>
      <c r="J17" s="32" t="n"/>
      <c r="K17" s="32" t="n"/>
      <c r="L17" s="32" t="n"/>
      <c r="M17" s="32" t="n"/>
      <c r="N17" s="32" t="n"/>
      <c r="O17" s="32" t="n"/>
    </row>
    <row r="18">
      <c r="A18" s="32" t="n"/>
      <c r="B18" s="32" t="n"/>
      <c r="C18" s="32" t="n"/>
      <c r="D18" s="32" t="n"/>
      <c r="E18" s="32" t="n"/>
      <c r="F18" s="32" t="n"/>
      <c r="G18" s="32" t="n"/>
      <c r="H18" s="32" t="n"/>
      <c r="I18" s="32" t="n"/>
      <c r="J18" s="32" t="n"/>
      <c r="K18" s="32" t="n"/>
      <c r="L18" s="32" t="n"/>
      <c r="M18" s="32" t="n"/>
      <c r="N18" s="32" t="n"/>
      <c r="O18" s="32" t="n"/>
    </row>
    <row r="19">
      <c r="A19" s="32" t="n"/>
      <c r="B19" s="32" t="n"/>
      <c r="C19" s="32" t="n"/>
      <c r="D19" s="32" t="n"/>
      <c r="E19" s="32" t="n"/>
      <c r="F19" s="32" t="n"/>
      <c r="G19" s="32" t="n"/>
      <c r="H19" s="32" t="n"/>
      <c r="I19" s="32" t="n"/>
      <c r="J19" s="32" t="n"/>
      <c r="K19" s="32" t="n"/>
      <c r="L19" s="32" t="n"/>
      <c r="M19" s="32" t="n"/>
      <c r="N19" s="32" t="n"/>
      <c r="O19" s="32" t="n"/>
    </row>
    <row r="20">
      <c r="A20" s="32" t="n"/>
      <c r="B20" s="32" t="n"/>
      <c r="C20" s="32" t="n"/>
      <c r="D20" s="32" t="n"/>
      <c r="E20" s="32" t="n"/>
      <c r="F20" s="32" t="n"/>
      <c r="G20" s="32" t="n"/>
      <c r="H20" s="32" t="n"/>
      <c r="I20" s="32" t="n"/>
      <c r="J20" s="32" t="n"/>
      <c r="K20" s="32" t="n"/>
      <c r="L20" s="32" t="n"/>
      <c r="M20" s="32" t="n"/>
      <c r="N20" s="32" t="n"/>
      <c r="O20" s="32" t="n"/>
    </row>
    <row r="21">
      <c r="A21" s="32" t="n"/>
      <c r="B21" s="32" t="n"/>
      <c r="C21" s="32" t="n"/>
      <c r="D21" s="32" t="n"/>
      <c r="E21" s="32" t="n"/>
      <c r="F21" s="32" t="n"/>
      <c r="G21" s="32" t="n"/>
      <c r="H21" s="32" t="n"/>
      <c r="I21" s="32" t="n"/>
      <c r="J21" s="32" t="n"/>
      <c r="K21" s="32" t="n"/>
      <c r="L21" s="32" t="n"/>
      <c r="M21" s="32" t="n"/>
      <c r="N21" s="32" t="n"/>
      <c r="O21" s="32" t="n"/>
    </row>
    <row r="22">
      <c r="A22" s="32" t="n"/>
      <c r="B22" s="32" t="n"/>
      <c r="C22" s="32" t="n"/>
      <c r="D22" s="32" t="n"/>
      <c r="E22" s="32" t="n"/>
      <c r="F22" s="32" t="n"/>
      <c r="G22" s="32" t="n"/>
      <c r="H22" s="32" t="n"/>
      <c r="I22" s="32" t="n"/>
      <c r="J22" s="32" t="n"/>
      <c r="K22" s="32" t="n"/>
      <c r="L22" s="32" t="n"/>
      <c r="M22" s="32" t="n"/>
      <c r="N22" s="32" t="n"/>
      <c r="O22" s="32" t="n"/>
    </row>
    <row r="23">
      <c r="A23" s="32" t="n"/>
      <c r="B23" s="32" t="n"/>
      <c r="C23" s="32" t="n"/>
      <c r="D23" s="32" t="n"/>
      <c r="E23" s="32" t="n"/>
      <c r="F23" s="32" t="n"/>
      <c r="G23" s="32" t="n"/>
      <c r="H23" s="32" t="n"/>
      <c r="I23" s="32" t="n"/>
      <c r="J23" s="32" t="n"/>
      <c r="K23" s="32" t="n"/>
      <c r="L23" s="32" t="n"/>
      <c r="M23" s="32" t="n"/>
      <c r="N23" s="32" t="n"/>
      <c r="O23" s="32" t="n"/>
    </row>
    <row r="24">
      <c r="A24" s="32" t="n"/>
      <c r="B24" s="32" t="n"/>
      <c r="C24" s="32" t="n"/>
      <c r="D24" s="32" t="n"/>
      <c r="E24" s="32" t="n"/>
      <c r="F24" s="32" t="n"/>
      <c r="G24" s="32" t="n"/>
      <c r="H24" s="32" t="n"/>
      <c r="I24" s="32" t="n"/>
      <c r="J24" s="32" t="n"/>
      <c r="K24" s="32" t="n"/>
      <c r="L24" s="32" t="n"/>
      <c r="M24" s="32" t="n"/>
      <c r="N24" s="32" t="n"/>
      <c r="O24" s="32" t="n"/>
    </row>
    <row r="25">
      <c r="A25" s="32" t="n"/>
      <c r="B25" s="32" t="n"/>
      <c r="C25" s="32" t="n"/>
      <c r="D25" s="32" t="n"/>
      <c r="E25" s="32" t="n"/>
      <c r="F25" s="32" t="n"/>
      <c r="G25" s="32" t="n"/>
      <c r="H25" s="32" t="n"/>
      <c r="I25" s="32" t="n"/>
      <c r="J25" s="32" t="n"/>
      <c r="K25" s="32" t="n"/>
      <c r="L25" s="32" t="n"/>
      <c r="M25" s="32" t="n"/>
      <c r="N25" s="32" t="n"/>
      <c r="O25" s="32" t="n"/>
    </row>
    <row r="26">
      <c r="A26" s="32" t="n"/>
      <c r="B26" s="32" t="n"/>
      <c r="C26" s="32" t="n"/>
      <c r="D26" s="32" t="n"/>
      <c r="E26" s="32" t="n"/>
      <c r="F26" s="32" t="n"/>
      <c r="G26" s="32" t="n"/>
      <c r="H26" s="32" t="n"/>
      <c r="I26" s="32" t="n"/>
      <c r="J26" s="32" t="n"/>
      <c r="K26" s="32" t="n"/>
      <c r="L26" s="32" t="n"/>
      <c r="M26" s="32" t="n"/>
      <c r="N26" s="32" t="n"/>
      <c r="O26" s="32" t="n"/>
    </row>
    <row r="27">
      <c r="A27" s="32" t="n"/>
      <c r="B27" s="32" t="n"/>
      <c r="C27" s="32" t="n"/>
      <c r="D27" s="32" t="n"/>
      <c r="E27" s="32" t="n"/>
      <c r="F27" s="32" t="n"/>
      <c r="G27" s="32" t="n"/>
      <c r="H27" s="32" t="n"/>
      <c r="I27" s="32" t="n"/>
      <c r="J27" s="32" t="n"/>
      <c r="K27" s="32" t="n"/>
      <c r="L27" s="32" t="n"/>
      <c r="M27" s="32" t="n"/>
      <c r="N27" s="32" t="n"/>
      <c r="O27" s="32" t="n"/>
    </row>
    <row r="28">
      <c r="A28" s="32" t="n"/>
      <c r="B28" s="32" t="n"/>
      <c r="C28" s="32" t="n"/>
      <c r="D28" s="32" t="n"/>
      <c r="E28" s="32" t="n"/>
      <c r="F28" s="32" t="n"/>
      <c r="G28" s="32" t="n"/>
      <c r="H28" s="32" t="n"/>
      <c r="I28" s="32" t="n"/>
      <c r="J28" s="32" t="n"/>
      <c r="K28" s="32" t="n"/>
      <c r="L28" s="32" t="n"/>
      <c r="M28" s="32" t="n"/>
      <c r="N28" s="32" t="n"/>
      <c r="O28" s="32" t="n"/>
    </row>
    <row r="29">
      <c r="A29" s="32" t="n"/>
      <c r="B29" s="32" t="n"/>
      <c r="C29" s="32" t="n"/>
      <c r="D29" s="32" t="n"/>
      <c r="E29" s="32" t="n"/>
      <c r="F29" s="32" t="n"/>
      <c r="G29" s="32" t="n"/>
      <c r="H29" s="32" t="n"/>
      <c r="I29" s="32" t="n"/>
      <c r="J29" s="32" t="n"/>
      <c r="K29" s="32" t="n"/>
      <c r="L29" s="32" t="n"/>
      <c r="M29" s="32" t="n"/>
      <c r="N29" s="32" t="n"/>
      <c r="O29" s="32" t="n"/>
    </row>
    <row r="30">
      <c r="A30" s="32" t="n"/>
      <c r="B30" s="32" t="n"/>
      <c r="C30" s="32" t="n"/>
      <c r="D30" s="32" t="n"/>
      <c r="E30" s="32" t="n"/>
      <c r="F30" s="32" t="n"/>
      <c r="G30" s="32" t="n"/>
      <c r="H30" s="32" t="n"/>
      <c r="I30" s="32" t="n"/>
      <c r="J30" s="32" t="n"/>
      <c r="K30" s="32" t="n"/>
      <c r="L30" s="32" t="n"/>
      <c r="M30" s="32" t="n"/>
      <c r="N30" s="32" t="n"/>
      <c r="O30" s="32" t="n"/>
    </row>
    <row r="31">
      <c r="A31" s="32" t="n"/>
      <c r="B31" s="32" t="n"/>
      <c r="C31" s="32" t="n"/>
      <c r="D31" s="32" t="n"/>
      <c r="E31" s="32" t="n"/>
      <c r="F31" s="32" t="n"/>
      <c r="G31" s="32" t="n"/>
      <c r="H31" s="32" t="n"/>
      <c r="I31" s="32" t="n"/>
      <c r="J31" s="32" t="n"/>
      <c r="K31" s="32" t="n"/>
      <c r="L31" s="32" t="n"/>
      <c r="M31" s="32" t="n"/>
      <c r="N31" s="32" t="n"/>
      <c r="O31" s="32" t="n"/>
    </row>
    <row r="32">
      <c r="A32" s="32" t="n"/>
      <c r="B32" s="32" t="n"/>
      <c r="C32" s="32" t="n"/>
      <c r="D32" s="32" t="n"/>
      <c r="E32" s="32" t="n"/>
      <c r="F32" s="32" t="n"/>
      <c r="G32" s="32" t="n"/>
      <c r="H32" s="32" t="n"/>
      <c r="I32" s="32" t="n"/>
      <c r="J32" s="32" t="n"/>
      <c r="K32" s="32" t="n"/>
      <c r="L32" s="32" t="n"/>
      <c r="M32" s="32" t="n"/>
      <c r="N32" s="32" t="n"/>
      <c r="O32" s="32" t="n"/>
    </row>
    <row r="33">
      <c r="A33" s="32" t="n"/>
      <c r="B33" s="32" t="n"/>
      <c r="C33" s="32" t="n"/>
      <c r="D33" s="32" t="n"/>
      <c r="E33" s="32" t="n"/>
      <c r="F33" s="32" t="n"/>
      <c r="G33" s="32" t="n"/>
      <c r="H33" s="32" t="n"/>
      <c r="I33" s="32" t="n"/>
      <c r="J33" s="32" t="n"/>
      <c r="K33" s="32" t="n"/>
      <c r="L33" s="32" t="n"/>
      <c r="M33" s="32" t="n"/>
      <c r="N33" s="32" t="n"/>
      <c r="O33" s="32" t="n"/>
    </row>
    <row r="34">
      <c r="A34" s="32" t="n"/>
      <c r="B34" s="32" t="n"/>
      <c r="C34" s="32" t="n"/>
      <c r="D34" s="32" t="n"/>
      <c r="E34" s="32" t="n"/>
      <c r="F34" s="32" t="n"/>
      <c r="G34" s="32" t="n"/>
      <c r="H34" s="32" t="n"/>
      <c r="I34" s="32" t="n"/>
      <c r="J34" s="32" t="n"/>
      <c r="K34" s="32" t="n"/>
      <c r="L34" s="32" t="n"/>
      <c r="M34" s="32" t="n"/>
      <c r="N34" s="32" t="n"/>
      <c r="O34" s="32" t="n"/>
    </row>
    <row r="35">
      <c r="A35" s="32" t="n"/>
      <c r="B35" s="32" t="n"/>
      <c r="C35" s="32" t="n"/>
      <c r="D35" s="32" t="n"/>
      <c r="E35" s="32" t="n"/>
      <c r="F35" s="32" t="n"/>
      <c r="G35" s="32" t="n"/>
      <c r="H35" s="32" t="n"/>
      <c r="I35" s="32" t="n"/>
      <c r="J35" s="32" t="n"/>
      <c r="K35" s="32" t="n"/>
      <c r="L35" s="32" t="n"/>
      <c r="M35" s="32" t="n"/>
      <c r="N35" s="32" t="n"/>
      <c r="O35" s="32" t="n"/>
    </row>
    <row r="36">
      <c r="A36" s="32" t="n"/>
      <c r="B36" s="32" t="n"/>
      <c r="C36" s="32" t="n"/>
      <c r="D36" s="32" t="n"/>
      <c r="E36" s="32" t="n"/>
      <c r="F36" s="32" t="n"/>
      <c r="G36" s="32" t="n"/>
      <c r="H36" s="32" t="n"/>
      <c r="I36" s="32" t="n"/>
      <c r="J36" s="32" t="n"/>
      <c r="K36" s="32" t="n"/>
      <c r="L36" s="32" t="n"/>
      <c r="M36" s="32" t="n"/>
      <c r="N36" s="32" t="n"/>
      <c r="O36" s="32" t="n"/>
    </row>
    <row r="37">
      <c r="A37" s="32" t="n"/>
      <c r="B37" s="32" t="n"/>
      <c r="C37" s="32" t="n"/>
      <c r="D37" s="32" t="n"/>
      <c r="E37" s="32" t="n"/>
      <c r="F37" s="32" t="n"/>
      <c r="G37" s="32" t="n"/>
      <c r="H37" s="32" t="n"/>
      <c r="I37" s="32" t="n"/>
      <c r="J37" s="32" t="n"/>
      <c r="K37" s="32" t="n"/>
      <c r="L37" s="32" t="n"/>
      <c r="M37" s="32" t="n"/>
      <c r="N37" s="32" t="n"/>
      <c r="O37" s="32" t="n"/>
    </row>
    <row r="38">
      <c r="A38" s="32" t="n"/>
      <c r="B38" s="32" t="n"/>
      <c r="C38" s="32" t="n"/>
      <c r="D38" s="32" t="n"/>
      <c r="E38" s="32" t="n"/>
      <c r="F38" s="32" t="n"/>
      <c r="G38" s="32" t="n"/>
      <c r="H38" s="32" t="n"/>
      <c r="I38" s="32" t="n"/>
      <c r="J38" s="32" t="n"/>
      <c r="K38" s="32" t="n"/>
      <c r="L38" s="32" t="n"/>
      <c r="M38" s="32" t="n"/>
      <c r="N38" s="32" t="n"/>
      <c r="O38" s="32" t="n"/>
    </row>
    <row r="39">
      <c r="A39" s="32" t="n"/>
      <c r="B39" s="32" t="n"/>
      <c r="C39" s="32" t="n"/>
      <c r="D39" s="32" t="n"/>
      <c r="E39" s="32" t="n"/>
      <c r="F39" s="32" t="n"/>
      <c r="G39" s="32" t="n"/>
      <c r="H39" s="32" t="n"/>
      <c r="I39" s="32" t="n"/>
      <c r="J39" s="32" t="n"/>
      <c r="K39" s="32" t="n"/>
      <c r="L39" s="32" t="n"/>
      <c r="M39" s="32" t="n"/>
      <c r="N39" s="32" t="n"/>
      <c r="O39" s="32" t="n"/>
    </row>
    <row r="40">
      <c r="A40" s="32" t="n"/>
      <c r="B40" s="32" t="n"/>
      <c r="C40" s="32" t="n"/>
      <c r="D40" s="32" t="n"/>
      <c r="E40" s="32" t="n"/>
      <c r="F40" s="32" t="n"/>
      <c r="G40" s="32" t="n"/>
      <c r="H40" s="32" t="n"/>
      <c r="I40" s="32" t="n"/>
      <c r="J40" s="32" t="n"/>
      <c r="K40" s="32" t="n"/>
      <c r="L40" s="32" t="n"/>
      <c r="M40" s="32" t="n"/>
      <c r="N40" s="32" t="n"/>
      <c r="O40" s="32" t="n"/>
    </row>
    <row r="41">
      <c r="A41" s="32" t="n"/>
      <c r="B41" s="32" t="n"/>
      <c r="C41" s="32" t="n"/>
      <c r="D41" s="32" t="n"/>
      <c r="E41" s="32" t="n"/>
      <c r="F41" s="32" t="n"/>
      <c r="G41" s="32" t="n"/>
      <c r="H41" s="32" t="n"/>
      <c r="I41" s="32" t="n"/>
      <c r="J41" s="32" t="n"/>
      <c r="K41" s="32" t="n"/>
      <c r="L41" s="32" t="n"/>
      <c r="M41" s="32" t="n"/>
      <c r="N41" s="32" t="n"/>
      <c r="O41" s="32" t="n"/>
    </row>
    <row r="42">
      <c r="A42" s="32" t="n"/>
      <c r="B42" s="32" t="n"/>
      <c r="C42" s="32" t="n"/>
      <c r="D42" s="32" t="n"/>
      <c r="E42" s="32" t="n"/>
      <c r="F42" s="32" t="n"/>
      <c r="G42" s="32" t="n"/>
      <c r="H42" s="32" t="n"/>
      <c r="I42" s="32" t="n"/>
      <c r="J42" s="32" t="n"/>
      <c r="K42" s="32" t="n"/>
      <c r="L42" s="32" t="n"/>
      <c r="M42" s="32" t="n"/>
      <c r="N42" s="32" t="n"/>
      <c r="O42" s="32" t="n"/>
    </row>
    <row r="43">
      <c r="A43" s="32" t="n"/>
      <c r="B43" s="32" t="n"/>
      <c r="C43" s="32" t="n"/>
      <c r="D43" s="32" t="n"/>
      <c r="E43" s="32" t="n"/>
      <c r="F43" s="32" t="n"/>
      <c r="G43" s="32" t="n"/>
      <c r="H43" s="32" t="n"/>
      <c r="I43" s="32" t="n"/>
      <c r="J43" s="32" t="n"/>
      <c r="K43" s="32" t="n"/>
      <c r="L43" s="32" t="n"/>
      <c r="M43" s="32" t="n"/>
      <c r="N43" s="32" t="n"/>
      <c r="O43" s="32" t="n"/>
    </row>
    <row r="44">
      <c r="A44" s="32" t="n"/>
      <c r="B44" s="32" t="n"/>
      <c r="C44" s="32" t="n"/>
      <c r="D44" s="32" t="n"/>
      <c r="E44" s="32" t="n"/>
      <c r="F44" s="32" t="n"/>
      <c r="G44" s="32" t="n"/>
      <c r="H44" s="32" t="n"/>
      <c r="I44" s="32" t="n"/>
      <c r="J44" s="32" t="n"/>
      <c r="K44" s="32" t="n"/>
      <c r="L44" s="32" t="n"/>
      <c r="M44" s="32" t="n"/>
      <c r="N44" s="32" t="n"/>
      <c r="O44" s="32" t="n"/>
    </row>
    <row r="45">
      <c r="A45" s="32" t="n"/>
      <c r="B45" s="32" t="n"/>
      <c r="C45" s="32" t="n"/>
      <c r="D45" s="32" t="n"/>
      <c r="E45" s="32" t="n"/>
      <c r="F45" s="32" t="n"/>
      <c r="G45" s="32" t="n"/>
      <c r="H45" s="32" t="n"/>
      <c r="I45" s="32" t="n"/>
      <c r="J45" s="32" t="n"/>
      <c r="K45" s="32" t="n"/>
      <c r="L45" s="32" t="n"/>
      <c r="M45" s="32" t="n"/>
      <c r="N45" s="32" t="n"/>
      <c r="O45" s="32" t="n"/>
    </row>
    <row r="46">
      <c r="A46" s="32" t="n"/>
      <c r="B46" s="32" t="n"/>
      <c r="C46" s="32" t="n"/>
      <c r="D46" s="32" t="n"/>
      <c r="E46" s="32" t="n"/>
      <c r="F46" s="32" t="n"/>
      <c r="G46" s="32" t="n"/>
      <c r="H46" s="32" t="n"/>
      <c r="I46" s="32" t="n"/>
      <c r="J46" s="32" t="n"/>
      <c r="K46" s="32" t="n"/>
      <c r="L46" s="32" t="n"/>
      <c r="M46" s="32" t="n"/>
      <c r="N46" s="32" t="n"/>
      <c r="O46" s="32" t="n"/>
    </row>
    <row r="47">
      <c r="A47" s="32" t="n"/>
      <c r="B47" s="32" t="n"/>
      <c r="C47" s="32" t="n"/>
      <c r="D47" s="32" t="n"/>
      <c r="E47" s="32" t="n"/>
      <c r="F47" s="32" t="n"/>
      <c r="G47" s="32" t="n"/>
      <c r="H47" s="32" t="n"/>
      <c r="I47" s="32" t="n"/>
      <c r="J47" s="32" t="n"/>
      <c r="K47" s="32" t="n"/>
      <c r="L47" s="32" t="n"/>
      <c r="M47" s="32" t="n"/>
      <c r="N47" s="32" t="n"/>
      <c r="O47" s="32" t="n"/>
    </row>
    <row r="48">
      <c r="A48" s="32" t="n"/>
      <c r="B48" s="32" t="n"/>
      <c r="C48" s="32" t="n"/>
      <c r="D48" s="32" t="n"/>
      <c r="E48" s="32" t="n"/>
      <c r="F48" s="32" t="n"/>
      <c r="G48" s="32" t="n"/>
      <c r="H48" s="32" t="n"/>
      <c r="I48" s="32" t="n"/>
      <c r="J48" s="32" t="n"/>
      <c r="K48" s="32" t="n"/>
      <c r="L48" s="32" t="n"/>
      <c r="M48" s="32" t="n"/>
      <c r="N48" s="32" t="n"/>
      <c r="O48" s="32" t="n"/>
    </row>
    <row r="49">
      <c r="A49" s="32" t="n"/>
      <c r="B49" s="32" t="n"/>
      <c r="C49" s="32" t="n"/>
      <c r="D49" s="32" t="n"/>
      <c r="E49" s="32" t="n"/>
      <c r="F49" s="32" t="n"/>
      <c r="G49" s="32" t="n"/>
      <c r="H49" s="32" t="n"/>
      <c r="I49" s="32" t="n"/>
      <c r="J49" s="32" t="n"/>
      <c r="K49" s="32" t="n"/>
      <c r="L49" s="32" t="n"/>
      <c r="M49" s="32" t="n"/>
      <c r="N49" s="32" t="n"/>
      <c r="O49" s="32" t="n"/>
    </row>
    <row r="50">
      <c r="A50" s="32" t="n"/>
      <c r="B50" s="32" t="n"/>
      <c r="C50" s="32" t="n"/>
      <c r="D50" s="32" t="n"/>
      <c r="E50" s="32" t="n"/>
      <c r="F50" s="32" t="n"/>
      <c r="G50" s="32" t="n"/>
      <c r="H50" s="32" t="n"/>
      <c r="I50" s="32" t="n"/>
      <c r="J50" s="32" t="n"/>
      <c r="K50" s="32" t="n"/>
      <c r="L50" s="32" t="n"/>
      <c r="M50" s="32" t="n"/>
      <c r="N50" s="32" t="n"/>
      <c r="O50" s="32" t="n"/>
    </row>
    <row r="51">
      <c r="A51" s="32" t="n"/>
      <c r="B51" s="32" t="n"/>
      <c r="C51" s="32" t="n"/>
      <c r="D51" s="32" t="n"/>
      <c r="E51" s="32" t="n"/>
      <c r="F51" s="32" t="n"/>
      <c r="G51" s="32" t="n"/>
      <c r="H51" s="32" t="n"/>
      <c r="I51" s="32" t="n"/>
      <c r="J51" s="32" t="n"/>
      <c r="K51" s="32" t="n"/>
      <c r="L51" s="32" t="n"/>
      <c r="M51" s="32" t="n"/>
      <c r="N51" s="32" t="n"/>
      <c r="O51" s="32" t="n"/>
    </row>
    <row r="52">
      <c r="A52" s="32" t="n"/>
      <c r="B52" s="32" t="n"/>
      <c r="C52" s="32" t="n"/>
      <c r="D52" s="32" t="n"/>
      <c r="E52" s="32" t="n"/>
      <c r="F52" s="32" t="n"/>
      <c r="G52" s="32" t="n"/>
      <c r="H52" s="32" t="n"/>
      <c r="I52" s="32" t="n"/>
      <c r="J52" s="32" t="n"/>
      <c r="K52" s="32" t="n"/>
      <c r="L52" s="32" t="n"/>
      <c r="M52" s="32" t="n"/>
      <c r="N52" s="32" t="n"/>
      <c r="O52" s="32" t="n"/>
    </row>
    <row r="53">
      <c r="A53" s="32" t="n"/>
      <c r="B53" s="32" t="n"/>
      <c r="C53" s="32" t="n"/>
      <c r="D53" s="32" t="n"/>
      <c r="E53" s="32" t="n"/>
      <c r="F53" s="32" t="n"/>
      <c r="G53" s="32" t="n"/>
      <c r="H53" s="32" t="n"/>
      <c r="I53" s="32" t="n"/>
      <c r="J53" s="32" t="n"/>
      <c r="K53" s="32" t="n"/>
      <c r="L53" s="32" t="n"/>
      <c r="M53" s="32" t="n"/>
      <c r="N53" s="32" t="n"/>
      <c r="O53" s="32" t="n"/>
    </row>
    <row r="54">
      <c r="A54" s="32" t="n"/>
      <c r="B54" s="32" t="n"/>
      <c r="C54" s="32" t="n"/>
      <c r="D54" s="32" t="n"/>
      <c r="E54" s="32" t="n"/>
      <c r="F54" s="32" t="n"/>
      <c r="G54" s="32" t="n"/>
      <c r="H54" s="32" t="n"/>
      <c r="I54" s="32" t="n"/>
      <c r="J54" s="32" t="n"/>
      <c r="K54" s="32" t="n"/>
      <c r="L54" s="32" t="n"/>
      <c r="M54" s="32" t="n"/>
      <c r="N54" s="32" t="n"/>
      <c r="O54" s="32" t="n"/>
    </row>
    <row r="55">
      <c r="A55" s="32" t="n"/>
      <c r="B55" s="32" t="n"/>
      <c r="C55" s="32" t="n"/>
      <c r="D55" s="32" t="n"/>
      <c r="E55" s="32" t="n"/>
      <c r="F55" s="32" t="n"/>
      <c r="G55" s="32" t="n"/>
      <c r="H55" s="32" t="n"/>
      <c r="I55" s="32" t="n"/>
      <c r="J55" s="32" t="n"/>
      <c r="K55" s="32" t="n"/>
      <c r="L55" s="32" t="n"/>
      <c r="M55" s="32" t="n"/>
      <c r="N55" s="32" t="n"/>
      <c r="O55" s="32" t="n"/>
    </row>
    <row r="56">
      <c r="A56" s="32" t="n"/>
      <c r="B56" s="32" t="n"/>
      <c r="C56" s="32" t="n"/>
      <c r="D56" s="32" t="n"/>
      <c r="E56" s="32" t="n"/>
      <c r="F56" s="32" t="n"/>
      <c r="G56" s="32" t="n"/>
      <c r="H56" s="32" t="n"/>
      <c r="I56" s="32" t="n"/>
      <c r="J56" s="32" t="n"/>
      <c r="K56" s="32" t="n"/>
      <c r="L56" s="32" t="n"/>
      <c r="M56" s="32" t="n"/>
      <c r="N56" s="32" t="n"/>
      <c r="O56" s="32" t="n"/>
    </row>
    <row r="57">
      <c r="A57" s="32" t="n"/>
      <c r="B57" s="32" t="n"/>
      <c r="C57" s="32" t="n"/>
      <c r="D57" s="32" t="n"/>
      <c r="E57" s="32" t="n"/>
      <c r="F57" s="32" t="n"/>
      <c r="G57" s="32" t="n"/>
      <c r="H57" s="32" t="n"/>
      <c r="I57" s="32" t="n"/>
      <c r="J57" s="32" t="n"/>
      <c r="K57" s="32" t="n"/>
      <c r="L57" s="32" t="n"/>
      <c r="M57" s="32" t="n"/>
      <c r="N57" s="32" t="n"/>
      <c r="O57" s="32" t="n"/>
    </row>
    <row r="58">
      <c r="A58" s="32" t="n"/>
      <c r="B58" s="32" t="n"/>
      <c r="C58" s="32" t="n"/>
      <c r="D58" s="32" t="n"/>
      <c r="E58" s="32" t="n"/>
      <c r="F58" s="32" t="n"/>
      <c r="G58" s="32" t="n"/>
      <c r="H58" s="32" t="n"/>
      <c r="I58" s="32" t="n"/>
      <c r="J58" s="32" t="n"/>
      <c r="K58" s="32" t="n"/>
      <c r="L58" s="32" t="n"/>
      <c r="M58" s="32" t="n"/>
      <c r="N58" s="32" t="n"/>
      <c r="O58" s="32" t="n"/>
    </row>
    <row r="59">
      <c r="A59" s="32" t="n"/>
      <c r="B59" s="32" t="n"/>
      <c r="C59" s="32" t="n"/>
      <c r="D59" s="32" t="n"/>
      <c r="E59" s="32" t="n"/>
      <c r="F59" s="32" t="n"/>
      <c r="G59" s="32" t="n"/>
      <c r="H59" s="32" t="n"/>
      <c r="I59" s="32" t="n"/>
      <c r="J59" s="32" t="n"/>
      <c r="K59" s="32" t="n"/>
      <c r="L59" s="32" t="n"/>
      <c r="M59" s="32" t="n"/>
      <c r="N59" s="32" t="n"/>
      <c r="O59" s="32" t="n"/>
    </row>
    <row r="60">
      <c r="A60" s="32" t="n"/>
      <c r="B60" s="32" t="n"/>
      <c r="C60" s="32" t="n"/>
      <c r="D60" s="32" t="n"/>
      <c r="E60" s="32" t="n"/>
      <c r="F60" s="32" t="n"/>
      <c r="G60" s="32" t="n"/>
      <c r="H60" s="32" t="n"/>
      <c r="I60" s="32" t="n"/>
      <c r="J60" s="32" t="n"/>
      <c r="K60" s="32" t="n"/>
      <c r="L60" s="32" t="n"/>
      <c r="M60" s="32" t="n"/>
      <c r="N60" s="32" t="n"/>
      <c r="O60" s="32" t="n"/>
    </row>
    <row r="61">
      <c r="A61" s="32" t="n"/>
      <c r="B61" s="32" t="n"/>
      <c r="C61" s="32" t="n"/>
      <c r="D61" s="32" t="n"/>
      <c r="E61" s="32" t="n"/>
      <c r="F61" s="32" t="n"/>
      <c r="G61" s="32" t="n"/>
      <c r="H61" s="32" t="n"/>
      <c r="I61" s="32" t="n"/>
      <c r="J61" s="32" t="n"/>
      <c r="K61" s="32" t="n"/>
      <c r="L61" s="32" t="n"/>
      <c r="M61" s="32" t="n"/>
      <c r="N61" s="32" t="n"/>
      <c r="O61" s="32" t="n"/>
    </row>
    <row r="62">
      <c r="A62" s="32" t="n"/>
      <c r="B62" s="32" t="n"/>
      <c r="C62" s="32" t="n"/>
      <c r="D62" s="32" t="n"/>
      <c r="E62" s="32" t="n"/>
      <c r="F62" s="32" t="n"/>
      <c r="G62" s="32" t="n"/>
      <c r="H62" s="32" t="n"/>
      <c r="I62" s="32" t="n"/>
      <c r="J62" s="32" t="n"/>
      <c r="K62" s="32" t="n"/>
      <c r="L62" s="32" t="n"/>
      <c r="M62" s="32" t="n"/>
      <c r="N62" s="32" t="n"/>
      <c r="O62" s="32" t="n"/>
    </row>
    <row r="63">
      <c r="A63" s="32" t="n"/>
      <c r="B63" s="32" t="n"/>
      <c r="C63" s="32" t="n"/>
      <c r="D63" s="32" t="n"/>
      <c r="E63" s="32" t="n"/>
      <c r="F63" s="32" t="n"/>
      <c r="G63" s="32" t="n"/>
      <c r="H63" s="32" t="n"/>
      <c r="I63" s="32" t="n"/>
      <c r="J63" s="32" t="n"/>
      <c r="K63" s="32" t="n"/>
      <c r="L63" s="32" t="n"/>
      <c r="M63" s="32" t="n"/>
      <c r="N63" s="32" t="n"/>
      <c r="O63" s="32" t="n"/>
    </row>
    <row r="64">
      <c r="A64" s="32" t="n"/>
      <c r="B64" s="32" t="n"/>
      <c r="C64" s="32" t="n"/>
      <c r="D64" s="32" t="n"/>
      <c r="E64" s="32" t="n"/>
      <c r="F64" s="32" t="n"/>
      <c r="G64" s="32" t="n"/>
      <c r="H64" s="32" t="n"/>
      <c r="I64" s="32" t="n"/>
      <c r="J64" s="32" t="n"/>
      <c r="K64" s="32" t="n"/>
      <c r="L64" s="32" t="n"/>
      <c r="M64" s="32" t="n"/>
      <c r="N64" s="32" t="n"/>
      <c r="O64" s="32" t="n"/>
    </row>
    <row r="65">
      <c r="A65" s="32" t="n"/>
      <c r="B65" s="32" t="n"/>
      <c r="C65" s="32" t="n"/>
      <c r="D65" s="32" t="n"/>
      <c r="E65" s="32" t="n"/>
      <c r="F65" s="32" t="n"/>
      <c r="G65" s="32" t="n"/>
      <c r="H65" s="32" t="n"/>
      <c r="I65" s="32" t="n"/>
      <c r="J65" s="32" t="n"/>
      <c r="K65" s="32" t="n"/>
      <c r="L65" s="32" t="n"/>
      <c r="M65" s="32" t="n"/>
      <c r="N65" s="32" t="n"/>
      <c r="O65" s="32" t="n"/>
    </row>
    <row r="66">
      <c r="A66" s="32" t="n"/>
      <c r="B66" s="32" t="n"/>
      <c r="C66" s="32" t="n"/>
      <c r="D66" s="32" t="n"/>
      <c r="E66" s="32" t="n"/>
      <c r="F66" s="32" t="n"/>
      <c r="G66" s="32" t="n"/>
      <c r="H66" s="32" t="n"/>
      <c r="I66" s="32" t="n"/>
      <c r="J66" s="32" t="n"/>
      <c r="K66" s="32" t="n"/>
      <c r="L66" s="32" t="n"/>
      <c r="M66" s="32" t="n"/>
      <c r="N66" s="32" t="n"/>
      <c r="O66" s="32" t="n"/>
    </row>
    <row r="67">
      <c r="A67" s="32" t="n"/>
      <c r="B67" s="32" t="n"/>
      <c r="C67" s="32" t="n"/>
      <c r="D67" s="32" t="n"/>
      <c r="E67" s="32" t="n"/>
      <c r="F67" s="32" t="n"/>
      <c r="G67" s="32" t="n"/>
      <c r="H67" s="32" t="n"/>
      <c r="I67" s="32" t="n"/>
      <c r="J67" s="32" t="n"/>
      <c r="K67" s="32" t="n"/>
      <c r="L67" s="32" t="n"/>
      <c r="M67" s="32" t="n"/>
      <c r="N67" s="32" t="n"/>
      <c r="O67" s="32" t="n"/>
    </row>
    <row r="68">
      <c r="A68" s="32" t="n"/>
      <c r="B68" s="32" t="n"/>
      <c r="C68" s="32" t="n"/>
      <c r="D68" s="32" t="n"/>
      <c r="E68" s="32" t="n"/>
      <c r="F68" s="32" t="n"/>
      <c r="G68" s="32" t="n"/>
      <c r="H68" s="32" t="n"/>
      <c r="I68" s="32" t="n"/>
      <c r="J68" s="32" t="n"/>
      <c r="K68" s="32" t="n"/>
      <c r="L68" s="32" t="n"/>
      <c r="M68" s="32" t="n"/>
      <c r="N68" s="32" t="n"/>
      <c r="O68" s="32" t="n"/>
    </row>
    <row r="69">
      <c r="A69" s="32" t="n"/>
      <c r="B69" s="32" t="n"/>
      <c r="C69" s="32" t="n"/>
      <c r="D69" s="32" t="n"/>
      <c r="E69" s="32" t="n"/>
      <c r="F69" s="32" t="n"/>
      <c r="G69" s="32" t="n"/>
      <c r="H69" s="32" t="n"/>
      <c r="I69" s="32" t="n"/>
      <c r="J69" s="32" t="n"/>
      <c r="K69" s="32" t="n"/>
      <c r="L69" s="32" t="n"/>
      <c r="M69" s="32" t="n"/>
      <c r="N69" s="32" t="n"/>
      <c r="O69" s="32" t="n"/>
    </row>
    <row r="70">
      <c r="A70" s="32" t="n"/>
      <c r="B70" s="32" t="n"/>
      <c r="C70" s="32" t="n"/>
      <c r="D70" s="32" t="n"/>
      <c r="E70" s="32" t="n"/>
      <c r="F70" s="32" t="n"/>
      <c r="G70" s="32" t="n"/>
      <c r="H70" s="32" t="n"/>
      <c r="I70" s="32" t="n"/>
      <c r="J70" s="32" t="n"/>
      <c r="K70" s="32" t="n"/>
      <c r="L70" s="32" t="n"/>
      <c r="M70" s="32" t="n"/>
      <c r="N70" s="32" t="n"/>
      <c r="O70" s="32" t="n"/>
    </row>
    <row r="71">
      <c r="A71" s="32" t="n"/>
      <c r="B71" s="32" t="n"/>
      <c r="C71" s="32" t="n"/>
      <c r="D71" s="32" t="n"/>
      <c r="E71" s="32" t="n"/>
      <c r="F71" s="32" t="n"/>
      <c r="G71" s="32" t="n"/>
      <c r="H71" s="32" t="n"/>
      <c r="I71" s="32" t="n"/>
      <c r="J71" s="32" t="n"/>
      <c r="K71" s="32" t="n"/>
      <c r="L71" s="32" t="n"/>
      <c r="M71" s="32" t="n"/>
      <c r="N71" s="32" t="n"/>
      <c r="O71" s="32" t="n"/>
    </row>
    <row r="72">
      <c r="A72" s="32" t="n"/>
      <c r="B72" s="32" t="n"/>
      <c r="C72" s="32" t="n"/>
      <c r="D72" s="32" t="n"/>
      <c r="E72" s="32" t="n"/>
      <c r="F72" s="32" t="n"/>
      <c r="G72" s="32" t="n"/>
      <c r="H72" s="32" t="n"/>
      <c r="I72" s="32" t="n"/>
      <c r="J72" s="32" t="n"/>
      <c r="K72" s="32" t="n"/>
      <c r="L72" s="32" t="n"/>
      <c r="M72" s="32" t="n"/>
      <c r="N72" s="32" t="n"/>
      <c r="O72" s="32" t="n"/>
    </row>
    <row r="73">
      <c r="A73" s="32" t="n"/>
      <c r="B73" s="32" t="n"/>
      <c r="C73" s="32" t="n"/>
      <c r="D73" s="32" t="n"/>
      <c r="E73" s="32" t="n"/>
      <c r="F73" s="32" t="n"/>
      <c r="G73" s="32" t="n"/>
      <c r="H73" s="32" t="n"/>
      <c r="I73" s="32" t="n"/>
      <c r="J73" s="32" t="n"/>
      <c r="K73" s="32" t="n"/>
      <c r="L73" s="32" t="n"/>
      <c r="M73" s="32" t="n"/>
      <c r="N73" s="32" t="n"/>
      <c r="O73" s="32" t="n"/>
    </row>
    <row r="74">
      <c r="A74" s="32" t="n"/>
      <c r="B74" s="32" t="n"/>
      <c r="C74" s="32" t="n"/>
      <c r="D74" s="32" t="n"/>
      <c r="E74" s="32" t="n"/>
      <c r="F74" s="32" t="n"/>
      <c r="G74" s="32" t="n"/>
      <c r="H74" s="32" t="n"/>
      <c r="I74" s="32" t="n"/>
      <c r="J74" s="32" t="n"/>
      <c r="K74" s="32" t="n"/>
      <c r="L74" s="32" t="n"/>
      <c r="M74" s="32" t="n"/>
      <c r="N74" s="32" t="n"/>
      <c r="O74" s="32" t="n"/>
    </row>
    <row r="75">
      <c r="A75" s="32" t="n"/>
      <c r="B75" s="32" t="n"/>
      <c r="C75" s="32" t="n"/>
      <c r="D75" s="32" t="n"/>
      <c r="E75" s="32" t="n"/>
      <c r="F75" s="32" t="n"/>
      <c r="G75" s="32" t="n"/>
      <c r="H75" s="32" t="n"/>
      <c r="I75" s="32" t="n"/>
      <c r="J75" s="32" t="n"/>
      <c r="K75" s="32" t="n"/>
      <c r="L75" s="32" t="n"/>
      <c r="M75" s="32" t="n"/>
      <c r="N75" s="32" t="n"/>
      <c r="O75" s="32" t="n"/>
    </row>
    <row r="76">
      <c r="A76" s="32" t="n"/>
      <c r="B76" s="32" t="n"/>
      <c r="C76" s="32" t="n"/>
      <c r="D76" s="32" t="n"/>
      <c r="E76" s="32" t="n"/>
      <c r="F76" s="32" t="n"/>
      <c r="G76" s="32" t="n"/>
      <c r="H76" s="32" t="n"/>
      <c r="I76" s="32" t="n"/>
      <c r="J76" s="32" t="n"/>
      <c r="K76" s="32" t="n"/>
      <c r="L76" s="32" t="n"/>
      <c r="M76" s="32" t="n"/>
      <c r="N76" s="32" t="n"/>
      <c r="O76" s="32" t="n"/>
    </row>
    <row r="77">
      <c r="A77" s="32" t="n"/>
      <c r="B77" s="32" t="n"/>
      <c r="C77" s="32" t="n"/>
      <c r="D77" s="32" t="n"/>
      <c r="E77" s="32" t="n"/>
      <c r="F77" s="32" t="n"/>
      <c r="G77" s="32" t="n"/>
      <c r="H77" s="32" t="n"/>
      <c r="I77" s="32" t="n"/>
      <c r="J77" s="32" t="n"/>
      <c r="K77" s="32" t="n"/>
      <c r="L77" s="32" t="n"/>
      <c r="M77" s="32" t="n"/>
      <c r="N77" s="32" t="n"/>
      <c r="O77" s="32" t="n"/>
    </row>
    <row r="78">
      <c r="A78" s="32" t="n"/>
      <c r="B78" s="32" t="n"/>
      <c r="C78" s="32" t="n"/>
      <c r="D78" s="32" t="n"/>
      <c r="E78" s="32" t="n"/>
      <c r="F78" s="32" t="n"/>
      <c r="G78" s="32" t="n"/>
      <c r="H78" s="32" t="n"/>
      <c r="I78" s="32" t="n"/>
      <c r="J78" s="32" t="n"/>
      <c r="K78" s="32" t="n"/>
      <c r="L78" s="32" t="n"/>
      <c r="M78" s="32" t="n"/>
      <c r="N78" s="32" t="n"/>
      <c r="O78" s="32" t="n"/>
    </row>
    <row r="79">
      <c r="A79" s="32" t="n"/>
      <c r="B79" s="32" t="n"/>
      <c r="C79" s="32" t="n"/>
      <c r="D79" s="32" t="n"/>
      <c r="E79" s="32" t="n"/>
      <c r="F79" s="32" t="n"/>
      <c r="G79" s="32" t="n"/>
      <c r="H79" s="32" t="n"/>
      <c r="I79" s="32" t="n"/>
      <c r="J79" s="32" t="n"/>
      <c r="K79" s="32" t="n"/>
      <c r="L79" s="32" t="n"/>
      <c r="M79" s="32" t="n"/>
      <c r="N79" s="32" t="n"/>
      <c r="O79" s="32" t="n"/>
    </row>
    <row r="80">
      <c r="A80" s="32" t="n"/>
      <c r="B80" s="32" t="n"/>
      <c r="C80" s="32" t="n"/>
      <c r="D80" s="32" t="n"/>
      <c r="E80" s="32" t="n"/>
      <c r="F80" s="32" t="n"/>
      <c r="G80" s="32" t="n"/>
      <c r="H80" s="32" t="n"/>
      <c r="I80" s="32" t="n"/>
      <c r="J80" s="32" t="n"/>
      <c r="K80" s="32" t="n"/>
      <c r="L80" s="32" t="n"/>
      <c r="M80" s="32" t="n"/>
      <c r="N80" s="32" t="n"/>
      <c r="O80" s="32" t="n"/>
    </row>
    <row r="81">
      <c r="A81" s="32" t="n"/>
      <c r="B81" s="32" t="n"/>
      <c r="C81" s="32" t="n"/>
      <c r="D81" s="32" t="n"/>
      <c r="E81" s="32" t="n"/>
      <c r="F81" s="32" t="n"/>
      <c r="G81" s="32" t="n"/>
      <c r="H81" s="32" t="n"/>
      <c r="I81" s="32" t="n"/>
      <c r="J81" s="32" t="n"/>
      <c r="K81" s="32" t="n"/>
      <c r="L81" s="32" t="n"/>
      <c r="M81" s="32" t="n"/>
      <c r="N81" s="32" t="n"/>
      <c r="O81" s="32" t="n"/>
    </row>
    <row r="82">
      <c r="A82" s="32" t="n"/>
      <c r="B82" s="32" t="n"/>
      <c r="C82" s="32" t="n"/>
      <c r="D82" s="32" t="n"/>
      <c r="E82" s="32" t="n"/>
      <c r="F82" s="32" t="n"/>
      <c r="G82" s="32" t="n"/>
      <c r="H82" s="32" t="n"/>
      <c r="I82" s="32" t="n"/>
      <c r="J82" s="32" t="n"/>
      <c r="K82" s="32" t="n"/>
      <c r="L82" s="32" t="n"/>
      <c r="M82" s="32" t="n"/>
      <c r="N82" s="32" t="n"/>
      <c r="O82" s="32" t="n"/>
    </row>
    <row r="83">
      <c r="A83" s="32" t="n"/>
      <c r="B83" s="32" t="n"/>
      <c r="C83" s="32" t="n"/>
      <c r="D83" s="32" t="n"/>
      <c r="E83" s="32" t="n"/>
      <c r="F83" s="32" t="n"/>
      <c r="G83" s="32" t="n"/>
      <c r="H83" s="32" t="n"/>
      <c r="I83" s="32" t="n"/>
      <c r="J83" s="32" t="n"/>
      <c r="K83" s="32" t="n"/>
      <c r="L83" s="32" t="n"/>
      <c r="M83" s="32" t="n"/>
      <c r="N83" s="32" t="n"/>
      <c r="O83" s="32" t="n"/>
    </row>
    <row r="84">
      <c r="A84" s="32" t="n"/>
      <c r="B84" s="32" t="n"/>
      <c r="C84" s="32" t="n"/>
      <c r="D84" s="32" t="n"/>
      <c r="E84" s="32" t="n"/>
      <c r="F84" s="32" t="n"/>
      <c r="G84" s="32" t="n"/>
      <c r="H84" s="32" t="n"/>
      <c r="I84" s="32" t="n"/>
      <c r="J84" s="32" t="n"/>
      <c r="K84" s="32" t="n"/>
      <c r="L84" s="32" t="n"/>
      <c r="M84" s="32" t="n"/>
      <c r="N84" s="32" t="n"/>
      <c r="O84" s="32" t="n"/>
    </row>
    <row r="85">
      <c r="A85" s="32" t="n"/>
      <c r="B85" s="32" t="n"/>
      <c r="C85" s="32" t="n"/>
      <c r="D85" s="32" t="n"/>
      <c r="E85" s="32" t="n"/>
      <c r="F85" s="32" t="n"/>
      <c r="G85" s="32" t="n"/>
      <c r="H85" s="32" t="n"/>
      <c r="I85" s="32" t="n"/>
      <c r="J85" s="32" t="n"/>
      <c r="K85" s="32" t="n"/>
      <c r="L85" s="32" t="n"/>
      <c r="M85" s="32" t="n"/>
      <c r="N85" s="32" t="n"/>
      <c r="O85" s="32" t="n"/>
    </row>
    <row r="86">
      <c r="A86" s="32" t="n"/>
      <c r="B86" s="32" t="n"/>
      <c r="C86" s="32" t="n"/>
      <c r="D86" s="32" t="n"/>
      <c r="E86" s="32" t="n"/>
      <c r="F86" s="32" t="n"/>
      <c r="G86" s="32" t="n"/>
      <c r="H86" s="32" t="n"/>
      <c r="I86" s="32" t="n"/>
      <c r="J86" s="32" t="n"/>
      <c r="K86" s="32" t="n"/>
      <c r="L86" s="32" t="n"/>
      <c r="M86" s="32" t="n"/>
      <c r="N86" s="32" t="n"/>
      <c r="O86" s="32" t="n"/>
    </row>
    <row r="87">
      <c r="A87" s="32" t="n"/>
      <c r="B87" s="32" t="n"/>
      <c r="C87" s="32" t="n"/>
      <c r="D87" s="32" t="n"/>
      <c r="E87" s="32" t="n"/>
      <c r="F87" s="32" t="n"/>
      <c r="G87" s="32" t="n"/>
      <c r="H87" s="32" t="n"/>
      <c r="I87" s="32" t="n"/>
      <c r="J87" s="32" t="n"/>
      <c r="K87" s="32" t="n"/>
      <c r="L87" s="32" t="n"/>
      <c r="M87" s="32" t="n"/>
      <c r="N87" s="32" t="n"/>
      <c r="O87" s="32" t="n"/>
    </row>
    <row r="88">
      <c r="A88" s="32" t="n"/>
      <c r="B88" s="32" t="n"/>
      <c r="C88" s="32" t="n"/>
      <c r="D88" s="32" t="n"/>
      <c r="E88" s="32" t="n"/>
      <c r="F88" s="32" t="n"/>
      <c r="G88" s="32" t="n"/>
      <c r="H88" s="32" t="n"/>
      <c r="I88" s="32" t="n"/>
      <c r="J88" s="32" t="n"/>
      <c r="K88" s="32" t="n"/>
      <c r="L88" s="32" t="n"/>
      <c r="M88" s="32" t="n"/>
      <c r="N88" s="32" t="n"/>
      <c r="O88" s="32" t="n"/>
    </row>
    <row r="89">
      <c r="A89" s="32" t="n"/>
      <c r="B89" s="32" t="n"/>
      <c r="C89" s="32" t="n"/>
      <c r="D89" s="32" t="n"/>
      <c r="E89" s="32" t="n"/>
      <c r="F89" s="32" t="n"/>
      <c r="G89" s="32" t="n"/>
      <c r="H89" s="32" t="n"/>
      <c r="I89" s="32" t="n"/>
      <c r="J89" s="32" t="n"/>
      <c r="K89" s="32" t="n"/>
      <c r="L89" s="32" t="n"/>
      <c r="M89" s="32" t="n"/>
      <c r="N89" s="32" t="n"/>
      <c r="O89" s="32" t="n"/>
    </row>
    <row r="90">
      <c r="A90" s="32" t="n"/>
      <c r="B90" s="32" t="n"/>
      <c r="C90" s="32" t="n"/>
      <c r="D90" s="32" t="n"/>
      <c r="E90" s="32" t="n"/>
      <c r="F90" s="32" t="n"/>
      <c r="G90" s="32" t="n"/>
      <c r="H90" s="32" t="n"/>
      <c r="I90" s="32" t="n"/>
      <c r="J90" s="32" t="n"/>
      <c r="K90" s="32" t="n"/>
      <c r="L90" s="32" t="n"/>
      <c r="M90" s="32" t="n"/>
      <c r="N90" s="32" t="n"/>
      <c r="O90" s="32" t="n"/>
    </row>
    <row r="91">
      <c r="A91" s="32" t="n"/>
      <c r="B91" s="32" t="n"/>
      <c r="C91" s="32" t="n"/>
      <c r="D91" s="32" t="n"/>
      <c r="E91" s="32" t="n"/>
      <c r="F91" s="32" t="n"/>
      <c r="G91" s="32" t="n"/>
      <c r="H91" s="32" t="n"/>
      <c r="I91" s="32" t="n"/>
      <c r="J91" s="32" t="n"/>
      <c r="K91" s="32" t="n"/>
      <c r="L91" s="32" t="n"/>
      <c r="M91" s="32" t="n"/>
      <c r="N91" s="32" t="n"/>
      <c r="O91" s="32" t="n"/>
    </row>
    <row r="92">
      <c r="A92" s="32" t="n"/>
      <c r="B92" s="32" t="n"/>
      <c r="C92" s="32" t="n"/>
      <c r="D92" s="32" t="n"/>
      <c r="E92" s="32" t="n"/>
      <c r="F92" s="32" t="n"/>
      <c r="G92" s="32" t="n"/>
      <c r="H92" s="32" t="n"/>
      <c r="I92" s="32" t="n"/>
      <c r="J92" s="32" t="n"/>
      <c r="K92" s="32" t="n"/>
      <c r="L92" s="32" t="n"/>
      <c r="M92" s="32" t="n"/>
      <c r="N92" s="32" t="n"/>
      <c r="O92" s="32" t="n"/>
    </row>
    <row r="93">
      <c r="A93" s="32" t="n"/>
      <c r="B93" s="32" t="n"/>
      <c r="C93" s="32" t="n"/>
      <c r="D93" s="32" t="n"/>
      <c r="E93" s="32" t="n"/>
      <c r="F93" s="32" t="n"/>
      <c r="G93" s="32" t="n"/>
      <c r="H93" s="32" t="n"/>
      <c r="I93" s="32" t="n"/>
      <c r="J93" s="32" t="n"/>
      <c r="K93" s="32" t="n"/>
      <c r="L93" s="32" t="n"/>
      <c r="M93" s="32" t="n"/>
      <c r="N93" s="32" t="n"/>
      <c r="O93" s="32" t="n"/>
    </row>
    <row r="94">
      <c r="A94" s="32" t="n"/>
      <c r="B94" s="32" t="n"/>
      <c r="C94" s="32" t="n"/>
      <c r="D94" s="32" t="n"/>
      <c r="E94" s="32" t="n"/>
      <c r="F94" s="32" t="n"/>
      <c r="G94" s="32" t="n"/>
      <c r="H94" s="32" t="n"/>
      <c r="I94" s="32" t="n"/>
      <c r="J94" s="32" t="n"/>
      <c r="K94" s="32" t="n"/>
      <c r="L94" s="32" t="n"/>
      <c r="M94" s="32" t="n"/>
      <c r="N94" s="32" t="n"/>
      <c r="O94" s="32" t="n"/>
    </row>
    <row r="95">
      <c r="A95" s="32" t="n"/>
      <c r="B95" s="32" t="n"/>
      <c r="C95" s="32" t="n"/>
      <c r="D95" s="32" t="n"/>
      <c r="E95" s="32" t="n"/>
      <c r="F95" s="32" t="n"/>
      <c r="G95" s="32" t="n"/>
      <c r="H95" s="32" t="n"/>
      <c r="I95" s="32" t="n"/>
      <c r="J95" s="32" t="n"/>
      <c r="K95" s="32" t="n"/>
      <c r="L95" s="32" t="n"/>
      <c r="M95" s="32" t="n"/>
      <c r="N95" s="32" t="n"/>
      <c r="O95" s="32" t="n"/>
    </row>
    <row r="96">
      <c r="A96" s="32" t="n"/>
      <c r="B96" s="32" t="n"/>
      <c r="C96" s="32" t="n"/>
      <c r="D96" s="32" t="n"/>
      <c r="E96" s="32" t="n"/>
      <c r="F96" s="32" t="n"/>
      <c r="G96" s="32" t="n"/>
      <c r="H96" s="32" t="n"/>
      <c r="I96" s="32" t="n"/>
      <c r="J96" s="32" t="n"/>
      <c r="K96" s="32" t="n"/>
      <c r="L96" s="32" t="n"/>
      <c r="M96" s="32" t="n"/>
      <c r="N96" s="32" t="n"/>
      <c r="O96" s="32" t="n"/>
    </row>
    <row r="97">
      <c r="A97" s="32" t="n"/>
      <c r="B97" s="32" t="n"/>
      <c r="C97" s="32" t="n"/>
      <c r="D97" s="32" t="n"/>
      <c r="E97" s="32" t="n"/>
      <c r="F97" s="32" t="n"/>
      <c r="G97" s="32" t="n"/>
      <c r="H97" s="32" t="n"/>
      <c r="I97" s="32" t="n"/>
      <c r="J97" s="32" t="n"/>
      <c r="K97" s="32" t="n"/>
      <c r="L97" s="32" t="n"/>
      <c r="M97" s="32" t="n"/>
      <c r="N97" s="32" t="n"/>
      <c r="O97" s="32" t="n"/>
    </row>
    <row r="98">
      <c r="A98" s="32" t="n"/>
      <c r="B98" s="32" t="n"/>
      <c r="C98" s="32" t="n"/>
      <c r="D98" s="32" t="n"/>
      <c r="E98" s="32" t="n"/>
      <c r="F98" s="32" t="n"/>
      <c r="G98" s="32" t="n"/>
      <c r="H98" s="32" t="n"/>
      <c r="I98" s="32" t="n"/>
      <c r="J98" s="32" t="n"/>
      <c r="K98" s="32" t="n"/>
      <c r="L98" s="32" t="n"/>
      <c r="M98" s="32" t="n"/>
      <c r="N98" s="32" t="n"/>
      <c r="O98" s="32" t="n"/>
    </row>
    <row r="99">
      <c r="A99" s="32" t="n"/>
      <c r="B99" s="32" t="n"/>
      <c r="C99" s="32" t="n"/>
      <c r="D99" s="32" t="n"/>
      <c r="E99" s="32" t="n"/>
      <c r="F99" s="32" t="n"/>
      <c r="G99" s="32" t="n"/>
      <c r="H99" s="32" t="n"/>
      <c r="I99" s="32" t="n"/>
      <c r="J99" s="32" t="n"/>
      <c r="K99" s="32" t="n"/>
      <c r="L99" s="32" t="n"/>
      <c r="M99" s="32" t="n"/>
      <c r="N99" s="32" t="n"/>
      <c r="O99" s="32" t="n"/>
    </row>
    <row r="100">
      <c r="A100" s="32" t="n"/>
      <c r="B100" s="32" t="n"/>
      <c r="C100" s="32" t="n"/>
      <c r="D100" s="32" t="n"/>
      <c r="E100" s="32" t="n"/>
      <c r="F100" s="32" t="n"/>
      <c r="G100" s="32" t="n"/>
      <c r="H100" s="32" t="n"/>
      <c r="I100" s="32" t="n"/>
      <c r="J100" s="32" t="n"/>
      <c r="K100" s="32" t="n"/>
      <c r="L100" s="32" t="n"/>
      <c r="M100" s="32" t="n"/>
      <c r="N100" s="32" t="n"/>
      <c r="O100" s="32" t="n"/>
    </row>
    <row r="101">
      <c r="A101" s="32" t="n"/>
      <c r="B101" s="32" t="n"/>
      <c r="C101" s="32" t="n"/>
      <c r="D101" s="32" t="n"/>
      <c r="E101" s="32" t="n"/>
      <c r="F101" s="32" t="n"/>
      <c r="G101" s="32" t="n"/>
      <c r="H101" s="32" t="n"/>
      <c r="I101" s="32" t="n"/>
      <c r="J101" s="32" t="n"/>
      <c r="K101" s="32" t="n"/>
      <c r="L101" s="32" t="n"/>
      <c r="M101" s="32" t="n"/>
      <c r="N101" s="32" t="n"/>
      <c r="O101" s="32" t="n"/>
    </row>
    <row r="102">
      <c r="A102" s="32" t="n"/>
      <c r="B102" s="32" t="n"/>
      <c r="C102" s="32" t="n"/>
      <c r="D102" s="32" t="n"/>
      <c r="E102" s="32" t="n"/>
      <c r="F102" s="32" t="n"/>
      <c r="G102" s="32" t="n"/>
      <c r="H102" s="32" t="n"/>
      <c r="I102" s="32" t="n"/>
      <c r="J102" s="32" t="n"/>
      <c r="K102" s="32" t="n"/>
      <c r="L102" s="32" t="n"/>
      <c r="M102" s="32" t="n"/>
      <c r="N102" s="32" t="n"/>
      <c r="O102" s="32" t="n"/>
    </row>
    <row r="103">
      <c r="A103" s="32" t="n"/>
      <c r="B103" s="32" t="n"/>
      <c r="C103" s="32" t="n"/>
      <c r="D103" s="32" t="n"/>
      <c r="E103" s="32" t="n"/>
      <c r="F103" s="32" t="n"/>
      <c r="G103" s="32" t="n"/>
      <c r="H103" s="32" t="n"/>
      <c r="I103" s="32" t="n"/>
      <c r="J103" s="32" t="n"/>
      <c r="K103" s="32" t="n"/>
      <c r="L103" s="32" t="n"/>
      <c r="M103" s="32" t="n"/>
      <c r="N103" s="32" t="n"/>
      <c r="O103" s="32" t="n"/>
    </row>
    <row r="104">
      <c r="A104" s="32" t="n"/>
      <c r="B104" s="32" t="n"/>
      <c r="C104" s="32" t="n"/>
      <c r="D104" s="32" t="n"/>
      <c r="E104" s="32" t="n"/>
      <c r="F104" s="32" t="n"/>
      <c r="G104" s="32" t="n"/>
      <c r="H104" s="32" t="n"/>
      <c r="I104" s="32" t="n"/>
      <c r="J104" s="32" t="n"/>
      <c r="K104" s="32" t="n"/>
      <c r="L104" s="32" t="n"/>
      <c r="M104" s="32" t="n"/>
      <c r="N104" s="32" t="n"/>
      <c r="O104" s="32" t="n"/>
    </row>
    <row r="105">
      <c r="A105" s="32" t="n"/>
      <c r="B105" s="32" t="n"/>
      <c r="C105" s="32" t="n"/>
      <c r="D105" s="32" t="n"/>
      <c r="E105" s="32" t="n"/>
      <c r="F105" s="32" t="n"/>
      <c r="G105" s="32" t="n"/>
      <c r="H105" s="32" t="n"/>
      <c r="I105" s="32" t="n"/>
      <c r="J105" s="32" t="n"/>
      <c r="K105" s="32" t="n"/>
      <c r="L105" s="32" t="n"/>
      <c r="M105" s="32" t="n"/>
      <c r="N105" s="32" t="n"/>
      <c r="O105" s="32" t="n"/>
    </row>
    <row r="106">
      <c r="A106" s="32" t="n"/>
      <c r="B106" s="32" t="n"/>
      <c r="C106" s="32" t="n"/>
      <c r="D106" s="32" t="n"/>
      <c r="E106" s="32" t="n"/>
      <c r="F106" s="32" t="n"/>
      <c r="G106" s="32" t="n"/>
      <c r="H106" s="32" t="n"/>
      <c r="I106" s="32" t="n"/>
      <c r="J106" s="32" t="n"/>
      <c r="K106" s="32" t="n"/>
      <c r="L106" s="32" t="n"/>
      <c r="M106" s="32" t="n"/>
      <c r="N106" s="32" t="n"/>
      <c r="O106" s="32" t="n"/>
    </row>
    <row r="107">
      <c r="A107" s="32" t="n"/>
      <c r="B107" s="32" t="n"/>
      <c r="C107" s="32" t="n"/>
      <c r="D107" s="32" t="n"/>
      <c r="E107" s="32" t="n"/>
      <c r="F107" s="32" t="n"/>
      <c r="G107" s="32" t="n"/>
      <c r="H107" s="32" t="n"/>
      <c r="I107" s="32" t="n"/>
      <c r="J107" s="32" t="n"/>
      <c r="K107" s="32" t="n"/>
      <c r="L107" s="32" t="n"/>
      <c r="M107" s="32" t="n"/>
      <c r="N107" s="32" t="n"/>
      <c r="O107" s="32" t="n"/>
    </row>
    <row r="108">
      <c r="A108" s="32" t="n"/>
      <c r="B108" s="32" t="n"/>
      <c r="C108" s="32" t="n"/>
      <c r="D108" s="32" t="n"/>
      <c r="E108" s="32" t="n"/>
      <c r="F108" s="32" t="n"/>
      <c r="G108" s="32" t="n"/>
      <c r="H108" s="32" t="n"/>
      <c r="I108" s="32" t="n"/>
      <c r="J108" s="32" t="n"/>
      <c r="K108" s="32" t="n"/>
      <c r="L108" s="32" t="n"/>
      <c r="M108" s="32" t="n"/>
      <c r="N108" s="32" t="n"/>
      <c r="O108" s="32" t="n"/>
    </row>
    <row r="109">
      <c r="A109" s="32" t="n"/>
      <c r="B109" s="32" t="n"/>
      <c r="C109" s="32" t="n"/>
      <c r="D109" s="32" t="n"/>
      <c r="E109" s="32" t="n"/>
      <c r="F109" s="32" t="n"/>
      <c r="G109" s="32" t="n"/>
      <c r="H109" s="32" t="n"/>
      <c r="I109" s="32" t="n"/>
      <c r="J109" s="32" t="n"/>
      <c r="K109" s="32" t="n"/>
      <c r="L109" s="32" t="n"/>
      <c r="M109" s="32" t="n"/>
      <c r="N109" s="32" t="n"/>
      <c r="O109" s="32" t="n"/>
    </row>
    <row r="110">
      <c r="A110" s="32" t="n"/>
      <c r="B110" s="32" t="n"/>
      <c r="C110" s="32" t="n"/>
      <c r="D110" s="32" t="n"/>
      <c r="E110" s="32" t="n"/>
      <c r="F110" s="32" t="n"/>
      <c r="G110" s="32" t="n"/>
      <c r="H110" s="32" t="n"/>
      <c r="I110" s="32" t="n"/>
      <c r="J110" s="32" t="n"/>
      <c r="K110" s="32" t="n"/>
      <c r="L110" s="32" t="n"/>
      <c r="M110" s="32" t="n"/>
      <c r="N110" s="32" t="n"/>
      <c r="O110" s="32" t="n"/>
    </row>
    <row r="111">
      <c r="A111" s="32" t="n"/>
      <c r="B111" s="32" t="n"/>
      <c r="C111" s="32" t="n"/>
      <c r="D111" s="32" t="n"/>
      <c r="E111" s="32" t="n"/>
      <c r="F111" s="32" t="n"/>
      <c r="G111" s="32" t="n"/>
      <c r="H111" s="32" t="n"/>
      <c r="I111" s="32" t="n"/>
      <c r="J111" s="32" t="n"/>
      <c r="K111" s="32" t="n"/>
      <c r="L111" s="32" t="n"/>
      <c r="M111" s="32" t="n"/>
      <c r="N111" s="32" t="n"/>
      <c r="O111" s="32" t="n"/>
    </row>
    <row r="112">
      <c r="A112" s="32" t="n"/>
      <c r="B112" s="32" t="n"/>
      <c r="C112" s="32" t="n"/>
      <c r="D112" s="32" t="n"/>
      <c r="E112" s="32" t="n"/>
      <c r="F112" s="32" t="n"/>
      <c r="G112" s="32" t="n"/>
      <c r="H112" s="32" t="n"/>
      <c r="I112" s="32" t="n"/>
      <c r="J112" s="32" t="n"/>
      <c r="K112" s="32" t="n"/>
      <c r="L112" s="32" t="n"/>
      <c r="M112" s="32" t="n"/>
      <c r="N112" s="32" t="n"/>
      <c r="O112" s="32" t="n"/>
    </row>
    <row r="113">
      <c r="A113" s="32" t="n"/>
      <c r="B113" s="32" t="n"/>
      <c r="C113" s="32" t="n"/>
      <c r="D113" s="32" t="n"/>
      <c r="E113" s="32" t="n"/>
      <c r="F113" s="32" t="n"/>
      <c r="G113" s="32" t="n"/>
      <c r="H113" s="32" t="n"/>
      <c r="I113" s="32" t="n"/>
      <c r="J113" s="32" t="n"/>
      <c r="K113" s="32" t="n"/>
      <c r="L113" s="32" t="n"/>
      <c r="M113" s="32" t="n"/>
      <c r="N113" s="32" t="n"/>
      <c r="O113" s="32" t="n"/>
    </row>
    <row r="114">
      <c r="A114" s="32" t="n"/>
      <c r="B114" s="32" t="n"/>
      <c r="C114" s="32" t="n"/>
      <c r="D114" s="32" t="n"/>
      <c r="E114" s="32" t="n"/>
      <c r="F114" s="32" t="n"/>
      <c r="G114" s="32" t="n"/>
      <c r="H114" s="32" t="n"/>
      <c r="I114" s="32" t="n"/>
      <c r="J114" s="32" t="n"/>
      <c r="K114" s="32" t="n"/>
      <c r="L114" s="32" t="n"/>
      <c r="M114" s="32" t="n"/>
      <c r="N114" s="32" t="n"/>
      <c r="O114" s="32" t="n"/>
    </row>
    <row r="115">
      <c r="A115" s="32" t="n"/>
      <c r="B115" s="32" t="n"/>
      <c r="C115" s="32" t="n"/>
      <c r="D115" s="32" t="n"/>
      <c r="E115" s="32" t="n"/>
      <c r="F115" s="32" t="n"/>
      <c r="G115" s="32" t="n"/>
      <c r="H115" s="32" t="n"/>
      <c r="I115" s="32" t="n"/>
      <c r="J115" s="32" t="n"/>
      <c r="K115" s="32" t="n"/>
      <c r="L115" s="32" t="n"/>
      <c r="M115" s="32" t="n"/>
      <c r="N115" s="32" t="n"/>
      <c r="O115" s="32" t="n"/>
    </row>
    <row r="116">
      <c r="A116" s="32" t="n"/>
      <c r="B116" s="32" t="n"/>
      <c r="C116" s="32" t="n"/>
      <c r="D116" s="32" t="n"/>
      <c r="E116" s="32" t="n"/>
      <c r="F116" s="32" t="n"/>
      <c r="G116" s="32" t="n"/>
      <c r="H116" s="32" t="n"/>
      <c r="I116" s="32" t="n"/>
      <c r="J116" s="32" t="n"/>
      <c r="K116" s="32" t="n"/>
      <c r="L116" s="32" t="n"/>
      <c r="M116" s="32" t="n"/>
      <c r="N116" s="32" t="n"/>
      <c r="O116" s="32" t="n"/>
    </row>
    <row r="117">
      <c r="A117" s="32" t="n"/>
      <c r="B117" s="32" t="n"/>
      <c r="C117" s="32" t="n"/>
      <c r="D117" s="32" t="n"/>
      <c r="E117" s="32" t="n"/>
      <c r="F117" s="32" t="n"/>
      <c r="G117" s="32" t="n"/>
      <c r="H117" s="32" t="n"/>
      <c r="I117" s="32" t="n"/>
      <c r="J117" s="32" t="n"/>
      <c r="K117" s="32" t="n"/>
      <c r="L117" s="32" t="n"/>
      <c r="M117" s="32" t="n"/>
      <c r="N117" s="32" t="n"/>
      <c r="O117" s="32" t="n"/>
    </row>
    <row r="118">
      <c r="A118" s="32" t="n"/>
      <c r="B118" s="32" t="n"/>
      <c r="C118" s="32" t="n"/>
      <c r="D118" s="32" t="n"/>
      <c r="E118" s="32" t="n"/>
      <c r="F118" s="32" t="n"/>
      <c r="G118" s="32" t="n"/>
      <c r="H118" s="32" t="n"/>
      <c r="I118" s="32" t="n"/>
      <c r="J118" s="32" t="n"/>
      <c r="K118" s="32" t="n"/>
      <c r="L118" s="32" t="n"/>
      <c r="M118" s="32" t="n"/>
      <c r="N118" s="32" t="n"/>
      <c r="O118" s="32" t="n"/>
    </row>
    <row r="119">
      <c r="A119" s="32" t="n"/>
      <c r="B119" s="32" t="n"/>
      <c r="C119" s="32" t="n"/>
      <c r="D119" s="32" t="n"/>
      <c r="E119" s="32" t="n"/>
      <c r="F119" s="32" t="n"/>
      <c r="G119" s="32" t="n"/>
      <c r="H119" s="32" t="n"/>
      <c r="I119" s="32" t="n"/>
      <c r="J119" s="32" t="n"/>
      <c r="K119" s="32" t="n"/>
      <c r="L119" s="32" t="n"/>
      <c r="M119" s="32" t="n"/>
      <c r="N119" s="32" t="n"/>
      <c r="O119" s="32" t="n"/>
    </row>
    <row r="120">
      <c r="A120" s="32" t="n"/>
      <c r="B120" s="32" t="n"/>
      <c r="C120" s="32" t="n"/>
      <c r="D120" s="32" t="n"/>
      <c r="E120" s="32" t="n"/>
      <c r="F120" s="32" t="n"/>
      <c r="G120" s="32" t="n"/>
      <c r="H120" s="32" t="n"/>
      <c r="I120" s="32" t="n"/>
      <c r="J120" s="32" t="n"/>
      <c r="K120" s="32" t="n"/>
      <c r="L120" s="32" t="n"/>
      <c r="M120" s="32" t="n"/>
      <c r="N120" s="32" t="n"/>
      <c r="O120" s="32" t="n"/>
    </row>
    <row r="121">
      <c r="A121" s="32" t="n"/>
      <c r="B121" s="32" t="n"/>
      <c r="C121" s="32" t="n"/>
      <c r="D121" s="32" t="n"/>
      <c r="E121" s="32" t="n"/>
      <c r="F121" s="32" t="n"/>
      <c r="G121" s="32" t="n"/>
      <c r="H121" s="32" t="n"/>
      <c r="I121" s="32" t="n"/>
      <c r="J121" s="32" t="n"/>
      <c r="K121" s="32" t="n"/>
      <c r="L121" s="32" t="n"/>
      <c r="M121" s="32" t="n"/>
      <c r="N121" s="32" t="n"/>
      <c r="O121" s="32" t="n"/>
    </row>
    <row r="122">
      <c r="A122" s="32" t="n"/>
      <c r="B122" s="32" t="n"/>
      <c r="C122" s="32" t="n"/>
      <c r="D122" s="32" t="n"/>
      <c r="E122" s="32" t="n"/>
      <c r="F122" s="32" t="n"/>
      <c r="G122" s="32" t="n"/>
      <c r="H122" s="32" t="n"/>
      <c r="I122" s="32" t="n"/>
      <c r="J122" s="32" t="n"/>
      <c r="K122" s="32" t="n"/>
      <c r="L122" s="32" t="n"/>
      <c r="M122" s="32" t="n"/>
      <c r="N122" s="32" t="n"/>
      <c r="O122" s="32" t="n"/>
    </row>
    <row r="123">
      <c r="A123" s="32" t="n"/>
      <c r="B123" s="32" t="n"/>
      <c r="C123" s="32" t="n"/>
      <c r="D123" s="32" t="n"/>
      <c r="E123" s="32" t="n"/>
      <c r="F123" s="32" t="n"/>
      <c r="G123" s="32" t="n"/>
      <c r="H123" s="32" t="n"/>
      <c r="I123" s="32" t="n"/>
      <c r="J123" s="32" t="n"/>
      <c r="K123" s="32" t="n"/>
      <c r="L123" s="32" t="n"/>
      <c r="M123" s="32" t="n"/>
      <c r="N123" s="32" t="n"/>
      <c r="O123" s="32" t="n"/>
    </row>
    <row r="124">
      <c r="A124" s="32" t="n"/>
      <c r="B124" s="32" t="n"/>
      <c r="C124" s="32" t="n"/>
      <c r="D124" s="32" t="n"/>
      <c r="E124" s="32" t="n"/>
      <c r="F124" s="32" t="n"/>
      <c r="G124" s="32" t="n"/>
      <c r="H124" s="32" t="n"/>
      <c r="I124" s="32" t="n"/>
      <c r="J124" s="32" t="n"/>
      <c r="K124" s="32" t="n"/>
      <c r="L124" s="32" t="n"/>
      <c r="M124" s="32" t="n"/>
      <c r="N124" s="32" t="n"/>
      <c r="O124" s="32" t="n"/>
    </row>
    <row r="125">
      <c r="A125" s="32" t="n"/>
      <c r="B125" s="32" t="n"/>
      <c r="C125" s="32" t="n"/>
      <c r="D125" s="32" t="n"/>
      <c r="E125" s="32" t="n"/>
      <c r="F125" s="32" t="n"/>
      <c r="G125" s="32" t="n"/>
      <c r="H125" s="32" t="n"/>
      <c r="I125" s="32" t="n"/>
      <c r="J125" s="32" t="n"/>
      <c r="K125" s="32" t="n"/>
      <c r="L125" s="32" t="n"/>
      <c r="M125" s="32" t="n"/>
      <c r="N125" s="32" t="n"/>
      <c r="O125" s="32" t="n"/>
    </row>
    <row r="126">
      <c r="A126" s="32" t="n"/>
      <c r="B126" s="32" t="n"/>
      <c r="C126" s="32" t="n"/>
      <c r="D126" s="32" t="n"/>
      <c r="E126" s="32" t="n"/>
      <c r="F126" s="32" t="n"/>
      <c r="G126" s="32" t="n"/>
      <c r="H126" s="32" t="n"/>
      <c r="I126" s="32" t="n"/>
      <c r="J126" s="32" t="n"/>
      <c r="K126" s="32" t="n"/>
      <c r="L126" s="32" t="n"/>
      <c r="M126" s="32" t="n"/>
      <c r="N126" s="32" t="n"/>
      <c r="O126" s="32" t="n"/>
    </row>
    <row r="127">
      <c r="A127" s="32" t="n"/>
      <c r="B127" s="32" t="n"/>
      <c r="C127" s="32" t="n"/>
      <c r="D127" s="32" t="n"/>
      <c r="E127" s="32" t="n"/>
      <c r="F127" s="32" t="n"/>
      <c r="G127" s="32" t="n"/>
      <c r="H127" s="32" t="n"/>
      <c r="I127" s="32" t="n"/>
      <c r="J127" s="32" t="n"/>
      <c r="K127" s="32" t="n"/>
      <c r="L127" s="32" t="n"/>
      <c r="M127" s="32" t="n"/>
      <c r="N127" s="32" t="n"/>
      <c r="O127" s="32" t="n"/>
    </row>
    <row r="128">
      <c r="A128" s="32" t="n"/>
      <c r="B128" s="32" t="n"/>
      <c r="C128" s="32" t="n"/>
      <c r="D128" s="32" t="n"/>
      <c r="E128" s="32" t="n"/>
      <c r="F128" s="32" t="n"/>
      <c r="G128" s="32" t="n"/>
      <c r="H128" s="32" t="n"/>
      <c r="I128" s="32" t="n"/>
      <c r="J128" s="32" t="n"/>
      <c r="K128" s="32" t="n"/>
      <c r="L128" s="32" t="n"/>
      <c r="M128" s="32" t="n"/>
      <c r="N128" s="32" t="n"/>
      <c r="O128" s="32" t="n"/>
    </row>
    <row r="129">
      <c r="A129" s="32" t="n"/>
      <c r="B129" s="32" t="n"/>
      <c r="C129" s="32" t="n"/>
      <c r="D129" s="32" t="n"/>
      <c r="E129" s="32" t="n"/>
      <c r="F129" s="32" t="n"/>
      <c r="G129" s="32" t="n"/>
      <c r="H129" s="32" t="n"/>
      <c r="I129" s="32" t="n"/>
      <c r="J129" s="32" t="n"/>
      <c r="K129" s="32" t="n"/>
      <c r="L129" s="32" t="n"/>
      <c r="M129" s="32" t="n"/>
      <c r="N129" s="32" t="n"/>
      <c r="O129" s="32" t="n"/>
    </row>
    <row r="130">
      <c r="A130" s="32" t="n"/>
      <c r="B130" s="32" t="n"/>
      <c r="C130" s="32" t="n"/>
      <c r="D130" s="32" t="n"/>
      <c r="E130" s="32" t="n"/>
      <c r="F130" s="32" t="n"/>
      <c r="G130" s="32" t="n"/>
      <c r="H130" s="32" t="n"/>
      <c r="I130" s="32" t="n"/>
      <c r="J130" s="32" t="n"/>
      <c r="K130" s="32" t="n"/>
      <c r="L130" s="32" t="n"/>
      <c r="M130" s="32" t="n"/>
      <c r="N130" s="32" t="n"/>
      <c r="O130" s="32" t="n"/>
    </row>
    <row r="131">
      <c r="A131" s="32" t="n"/>
      <c r="B131" s="32" t="n"/>
      <c r="C131" s="32" t="n"/>
      <c r="D131" s="32" t="n"/>
      <c r="E131" s="32" t="n"/>
      <c r="F131" s="32" t="n"/>
      <c r="G131" s="32" t="n"/>
      <c r="H131" s="32" t="n"/>
      <c r="I131" s="32" t="n"/>
      <c r="J131" s="32" t="n"/>
      <c r="K131" s="32" t="n"/>
      <c r="L131" s="32" t="n"/>
      <c r="M131" s="32" t="n"/>
      <c r="N131" s="32" t="n"/>
      <c r="O131" s="32" t="n"/>
    </row>
    <row r="132">
      <c r="A132" s="32" t="n"/>
      <c r="B132" s="32" t="n"/>
      <c r="C132" s="32" t="n"/>
      <c r="D132" s="32" t="n"/>
      <c r="E132" s="32" t="n"/>
      <c r="F132" s="32" t="n"/>
      <c r="G132" s="32" t="n"/>
      <c r="H132" s="32" t="n"/>
      <c r="I132" s="32" t="n"/>
      <c r="J132" s="32" t="n"/>
      <c r="K132" s="32" t="n"/>
      <c r="L132" s="32" t="n"/>
      <c r="M132" s="32" t="n"/>
      <c r="N132" s="32" t="n"/>
      <c r="O132" s="32" t="n"/>
    </row>
    <row r="133">
      <c r="A133" s="32" t="n"/>
      <c r="B133" s="32" t="n"/>
      <c r="C133" s="32" t="n"/>
      <c r="D133" s="32" t="n"/>
      <c r="E133" s="32" t="n"/>
      <c r="F133" s="32" t="n"/>
      <c r="G133" s="32" t="n"/>
      <c r="H133" s="32" t="n"/>
      <c r="I133" s="32" t="n"/>
      <c r="J133" s="32" t="n"/>
      <c r="K133" s="32" t="n"/>
      <c r="L133" s="32" t="n"/>
      <c r="M133" s="32" t="n"/>
      <c r="N133" s="32" t="n"/>
      <c r="O133" s="32" t="n"/>
    </row>
    <row r="134">
      <c r="A134" s="32" t="n"/>
      <c r="B134" s="32" t="n"/>
      <c r="C134" s="32" t="n"/>
      <c r="D134" s="32" t="n"/>
      <c r="E134" s="32" t="n"/>
      <c r="F134" s="32" t="n"/>
      <c r="G134" s="32" t="n"/>
      <c r="H134" s="32" t="n"/>
      <c r="I134" s="32" t="n"/>
      <c r="J134" s="32" t="n"/>
      <c r="K134" s="32" t="n"/>
      <c r="L134" s="32" t="n"/>
      <c r="M134" s="32" t="n"/>
      <c r="N134" s="32" t="n"/>
      <c r="O134" s="32" t="n"/>
    </row>
    <row r="135">
      <c r="A135" s="32" t="n"/>
      <c r="B135" s="32" t="n"/>
      <c r="C135" s="32" t="n"/>
      <c r="D135" s="32" t="n"/>
      <c r="E135" s="32" t="n"/>
      <c r="F135" s="32" t="n"/>
      <c r="G135" s="32" t="n"/>
      <c r="H135" s="32" t="n"/>
      <c r="I135" s="32" t="n"/>
      <c r="J135" s="32" t="n"/>
      <c r="K135" s="32" t="n"/>
      <c r="L135" s="32" t="n"/>
      <c r="M135" s="32" t="n"/>
      <c r="N135" s="32" t="n"/>
      <c r="O135" s="32" t="n"/>
    </row>
    <row r="136">
      <c r="A136" s="32" t="n"/>
      <c r="B136" s="32" t="n"/>
      <c r="C136" s="32" t="n"/>
      <c r="D136" s="32" t="n"/>
      <c r="E136" s="32" t="n"/>
      <c r="F136" s="32" t="n"/>
      <c r="G136" s="32" t="n"/>
      <c r="H136" s="32" t="n"/>
      <c r="I136" s="32" t="n"/>
      <c r="J136" s="32" t="n"/>
      <c r="K136" s="32" t="n"/>
      <c r="L136" s="32" t="n"/>
      <c r="M136" s="32" t="n"/>
      <c r="N136" s="32" t="n"/>
      <c r="O136" s="32" t="n"/>
    </row>
    <row r="137">
      <c r="A137" s="32" t="n"/>
      <c r="B137" s="32" t="n"/>
      <c r="C137" s="32" t="n"/>
      <c r="D137" s="32" t="n"/>
      <c r="E137" s="32" t="n"/>
      <c r="F137" s="32" t="n"/>
      <c r="G137" s="32" t="n"/>
      <c r="H137" s="32" t="n"/>
      <c r="I137" s="32" t="n"/>
      <c r="J137" s="32" t="n"/>
      <c r="K137" s="32" t="n"/>
      <c r="L137" s="32" t="n"/>
      <c r="M137" s="32" t="n"/>
      <c r="N137" s="32" t="n"/>
      <c r="O137" s="32" t="n"/>
    </row>
    <row r="138">
      <c r="A138" s="32" t="n"/>
      <c r="B138" s="32" t="n"/>
      <c r="C138" s="32" t="n"/>
      <c r="D138" s="32" t="n"/>
      <c r="E138" s="32" t="n"/>
      <c r="F138" s="32" t="n"/>
      <c r="G138" s="32" t="n"/>
      <c r="H138" s="32" t="n"/>
      <c r="I138" s="32" t="n"/>
      <c r="J138" s="32" t="n"/>
      <c r="K138" s="32" t="n"/>
      <c r="L138" s="32" t="n"/>
      <c r="M138" s="32" t="n"/>
      <c r="N138" s="32" t="n"/>
      <c r="O138" s="32" t="n"/>
    </row>
    <row r="139">
      <c r="A139" s="32" t="n"/>
      <c r="B139" s="32" t="n"/>
      <c r="C139" s="32" t="n"/>
      <c r="D139" s="32" t="n"/>
      <c r="E139" s="32" t="n"/>
      <c r="F139" s="32" t="n"/>
      <c r="G139" s="32" t="n"/>
      <c r="H139" s="32" t="n"/>
      <c r="I139" s="32" t="n"/>
      <c r="J139" s="32" t="n"/>
      <c r="K139" s="32" t="n"/>
      <c r="L139" s="32" t="n"/>
      <c r="M139" s="32" t="n"/>
      <c r="N139" s="32" t="n"/>
      <c r="O139" s="32" t="n"/>
    </row>
    <row r="140">
      <c r="A140" s="32" t="n"/>
      <c r="B140" s="32" t="n"/>
      <c r="C140" s="32" t="n"/>
      <c r="D140" s="32" t="n"/>
      <c r="E140" s="32" t="n"/>
      <c r="F140" s="32" t="n"/>
      <c r="G140" s="32" t="n"/>
      <c r="H140" s="32" t="n"/>
      <c r="I140" s="32" t="n"/>
      <c r="J140" s="32" t="n"/>
      <c r="K140" s="32" t="n"/>
      <c r="L140" s="32" t="n"/>
      <c r="M140" s="32" t="n"/>
      <c r="N140" s="32" t="n"/>
      <c r="O140" s="32" t="n"/>
    </row>
  </sheetData>
  <mergeCells count="2">
    <mergeCell ref="A1:O1"/>
    <mergeCell ref="A2:O2"/>
  </mergeCells>
  <conditionalFormatting sqref="G5:G140">
    <cfRule type="expression" priority="1" dxfId="0">
      <formula>G5="PASS"</formula>
    </cfRule>
    <cfRule type="expression" priority="2" dxfId="1">
      <formula>G5="FAIL"</formula>
    </cfRule>
    <cfRule type="expression" priority="3" dxfId="2">
      <formula>G5="RETEST REQUIRED"</formula>
    </cfRule>
    <cfRule type="expression" priority="4" dxfId="3">
      <formula>G5="BLOCKED"</formula>
    </cfRule>
    <cfRule type="expression" priority="5" dxfId="4">
      <formula>G5="PENDING"</formula>
    </cfRule>
  </conditionalFormatting>
  <conditionalFormatting sqref="K5:K140">
    <cfRule type="expression" priority="6" dxfId="5">
      <formula>K5="Critical"</formula>
    </cfRule>
    <cfRule type="expression" priority="7" dxfId="3">
      <formula>K5="High"</formula>
    </cfRule>
    <cfRule type="expression" priority="8" dxfId="2">
      <formula>K5="Medium"</formula>
    </cfRule>
  </conditionalFormatting>
  <dataValidations count="4">
    <dataValidation sqref="G5:G140" showDropDown="0" showInputMessage="0" showErrorMessage="0" allowBlank="0" type="list">
      <formula1>"PENDING,PASS,FAIL,N/A,RETEST REQUIRED,BLOCKED"</formula1>
    </dataValidation>
    <dataValidation sqref="K5:K140" showDropDown="0" showInputMessage="0" showErrorMessage="0" allowBlank="0" type="list">
      <formula1>"Low,Medium,High,Critical"</formula1>
    </dataValidation>
    <dataValidation sqref="L5:L140" showDropDown="0" showInputMessage="0" showErrorMessage="0" allowBlank="0" type="list">
      <formula1>"Hardik,Manus,ChatGPT,Hardware,Home Assistant,LocalTuya,Firmware,Other"</formula1>
    </dataValidation>
    <dataValidation sqref="M5:N140" showDropDown="0" showInputMessage="0" showErrorMessage="0" allowBlank="0" type="list">
      <formula1>"Yes,No,N/A"</formula1>
    </dataValidation>
  </dataValidation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O160"/>
  <sheetViews>
    <sheetView workbookViewId="0">
      <pane ySplit="4" topLeftCell="A5" activePane="bottomLeft" state="frozen"/>
      <selection pane="bottomLeft" activeCell="A1" sqref="A1"/>
    </sheetView>
  </sheetViews>
  <sheetFormatPr baseColWidth="8" defaultRowHeight="15"/>
  <cols>
    <col width="9" customWidth="1" min="1" max="1"/>
    <col width="20" customWidth="1" min="2" max="2"/>
    <col width="14" customWidth="1" min="3" max="3"/>
    <col width="22" customWidth="1" min="4" max="4"/>
    <col width="40" customWidth="1" min="5" max="5"/>
    <col width="40" customWidth="1" min="6" max="6"/>
    <col width="9" customWidth="1" min="7" max="7"/>
    <col width="15" customWidth="1" min="8" max="8"/>
    <col width="13" customWidth="1" min="9" max="9"/>
    <col width="14" customWidth="1" min="10" max="10"/>
    <col width="10" customWidth="1" min="11" max="11"/>
    <col width="16" customWidth="1" min="12" max="12"/>
    <col width="11" customWidth="1" min="13" max="13"/>
    <col width="16" customWidth="1" min="14" max="14"/>
    <col width="13" customWidth="1" min="15" max="15"/>
  </cols>
  <sheetData>
    <row r="1" ht="28" customHeight="1">
      <c r="A1" s="50" t="inlineStr">
        <is>
          <t>Stage 7 — Full End-to-End System Validation</t>
        </is>
      </c>
      <c r="B1" s="51" t="n"/>
      <c r="C1" s="51" t="n"/>
      <c r="D1" s="51" t="n"/>
      <c r="E1" s="51" t="n"/>
      <c r="F1" s="51" t="n"/>
      <c r="G1" s="51" t="n"/>
      <c r="H1" s="51" t="n"/>
      <c r="I1" s="51" t="n"/>
      <c r="J1" s="51" t="n"/>
      <c r="K1" s="51" t="n"/>
      <c r="L1" s="51" t="n"/>
      <c r="M1" s="51" t="n"/>
      <c r="N1" s="51" t="n"/>
      <c r="O1" s="51" t="n"/>
    </row>
    <row r="2" ht="36" customHeight="1">
      <c r="A2" s="52" t="inlineStr">
        <is>
          <t>Validate both ESP devices controlling the same bedroom light group through Home Assistant/local integration.</t>
        </is>
      </c>
      <c r="B2" s="53" t="n"/>
      <c r="C2" s="53" t="n"/>
      <c r="D2" s="53" t="n"/>
      <c r="E2" s="53" t="n"/>
      <c r="F2" s="53" t="n"/>
      <c r="G2" s="53" t="n"/>
      <c r="H2" s="53" t="n"/>
      <c r="I2" s="53" t="n"/>
      <c r="J2" s="53" t="n"/>
      <c r="K2" s="53" t="n"/>
      <c r="L2" s="53" t="n"/>
      <c r="M2" s="53" t="n"/>
      <c r="N2" s="53" t="n"/>
      <c r="O2" s="53" t="n"/>
    </row>
    <row r="4" ht="36" customHeight="1">
      <c r="A4" s="42" t="inlineStr">
        <is>
          <t>Step ID</t>
        </is>
      </c>
      <c r="B4" s="42" t="inlineStr">
        <is>
          <t>Stage</t>
        </is>
      </c>
      <c r="C4" s="42" t="inlineStr">
        <is>
          <t>Category</t>
        </is>
      </c>
      <c r="D4" s="42" t="inlineStr">
        <is>
          <t>Step / Test</t>
        </is>
      </c>
      <c r="E4" s="42" t="inlineStr">
        <is>
          <t>Command / Action</t>
        </is>
      </c>
      <c r="F4" s="42" t="inlineStr">
        <is>
          <t>Expected Result</t>
        </is>
      </c>
      <c r="G4" s="42" t="inlineStr">
        <is>
          <t>Status</t>
        </is>
      </c>
      <c r="H4" s="42" t="inlineStr">
        <is>
          <t>Actual Result</t>
        </is>
      </c>
      <c r="I4" s="42" t="inlineStr">
        <is>
          <t>Observation</t>
        </is>
      </c>
      <c r="J4" s="42" t="inlineStr">
        <is>
          <t>Evidence Ref</t>
        </is>
      </c>
      <c r="K4" s="42" t="inlineStr">
        <is>
          <t>Severity</t>
        </is>
      </c>
      <c r="L4" s="42" t="inlineStr">
        <is>
          <t>Owner</t>
        </is>
      </c>
      <c r="M4" s="42" t="inlineStr">
        <is>
          <t>Blocking?</t>
        </is>
      </c>
      <c r="N4" s="42" t="inlineStr">
        <is>
          <t>AI Fix Needed?</t>
        </is>
      </c>
      <c r="O4" s="42" t="inlineStr">
        <is>
          <t>Next Action</t>
        </is>
      </c>
    </row>
    <row r="5">
      <c r="A5" s="54" t="inlineStr">
        <is>
          <t>E2E-01</t>
        </is>
      </c>
      <c r="B5" s="44" t="inlineStr">
        <is>
          <t>Stage 7 — Full E2E</t>
        </is>
      </c>
      <c r="C5" s="44" t="inlineStr">
        <is>
          <t>Door → HA</t>
        </is>
      </c>
      <c r="D5" s="44" t="inlineStr">
        <is>
          <t>Door power path</t>
        </is>
      </c>
      <c r="E5" s="44" t="inlineStr">
        <is>
          <t>Use door-side Power page</t>
        </is>
      </c>
      <c r="F5" s="44" t="inlineStr">
        <is>
          <t>Bedroom group toggles and HA reflects state</t>
        </is>
      </c>
      <c r="G5" s="55" t="inlineStr">
        <is>
          <t>PENDING</t>
        </is>
      </c>
      <c r="H5" s="44" t="str"/>
      <c r="I5" s="44" t="str"/>
      <c r="J5" s="44" t="str"/>
      <c r="K5" s="60" t="inlineStr">
        <is>
          <t>Critical</t>
        </is>
      </c>
      <c r="L5" s="44" t="inlineStr">
        <is>
          <t>Home Assistant</t>
        </is>
      </c>
      <c r="M5" s="44" t="inlineStr">
        <is>
          <t>Yes</t>
        </is>
      </c>
      <c r="N5" s="44" t="inlineStr">
        <is>
          <t>No</t>
        </is>
      </c>
      <c r="O5" s="44" t="str"/>
    </row>
    <row r="6">
      <c r="A6" s="57" t="inlineStr">
        <is>
          <t>E2E-02</t>
        </is>
      </c>
      <c r="B6" s="43" t="inlineStr">
        <is>
          <t>Stage 7 — Full E2E</t>
        </is>
      </c>
      <c r="C6" s="43" t="inlineStr">
        <is>
          <t>Door → HA</t>
        </is>
      </c>
      <c r="D6" s="43" t="inlineStr">
        <is>
          <t>Door brightness path</t>
        </is>
      </c>
      <c r="E6" s="43" t="inlineStr">
        <is>
          <t>Use door-side Brightness page</t>
        </is>
      </c>
      <c r="F6" s="43" t="inlineStr">
        <is>
          <t>Bedroom bulbs dim/brighten</t>
        </is>
      </c>
      <c r="G6" s="55" t="inlineStr">
        <is>
          <t>PENDING</t>
        </is>
      </c>
      <c r="H6" s="43" t="str"/>
      <c r="I6" s="43" t="str"/>
      <c r="J6" s="43" t="str"/>
      <c r="K6" s="59" t="inlineStr">
        <is>
          <t>Critical</t>
        </is>
      </c>
      <c r="L6" s="43" t="inlineStr">
        <is>
          <t>Home Assistant</t>
        </is>
      </c>
      <c r="M6" s="43" t="inlineStr">
        <is>
          <t>Yes</t>
        </is>
      </c>
      <c r="N6" s="43" t="inlineStr">
        <is>
          <t>No</t>
        </is>
      </c>
      <c r="O6" s="43" t="str"/>
    </row>
    <row r="7">
      <c r="A7" s="54" t="inlineStr">
        <is>
          <t>E2E-03</t>
        </is>
      </c>
      <c r="B7" s="44" t="inlineStr">
        <is>
          <t>Stage 7 — Full E2E</t>
        </is>
      </c>
      <c r="C7" s="44" t="inlineStr">
        <is>
          <t>Door → HA</t>
        </is>
      </c>
      <c r="D7" s="44" t="inlineStr">
        <is>
          <t>Door preset path</t>
        </is>
      </c>
      <c r="E7" s="44" t="inlineStr">
        <is>
          <t>Apply all 4 presets</t>
        </is>
      </c>
      <c r="F7" s="44" t="inlineStr">
        <is>
          <t>Bulbs match expected preset behavior</t>
        </is>
      </c>
      <c r="G7" s="55" t="inlineStr">
        <is>
          <t>PENDING</t>
        </is>
      </c>
      <c r="H7" s="44" t="str"/>
      <c r="I7" s="44" t="str"/>
      <c r="J7" s="44" t="str"/>
      <c r="K7" s="56" t="inlineStr">
        <is>
          <t>High</t>
        </is>
      </c>
      <c r="L7" s="44" t="inlineStr">
        <is>
          <t>Home Assistant</t>
        </is>
      </c>
      <c r="M7" s="44" t="inlineStr">
        <is>
          <t>No</t>
        </is>
      </c>
      <c r="N7" s="44" t="inlineStr">
        <is>
          <t>No</t>
        </is>
      </c>
      <c r="O7" s="44" t="str"/>
    </row>
    <row r="8">
      <c r="A8" s="57" t="inlineStr">
        <is>
          <t>E2E-04</t>
        </is>
      </c>
      <c r="B8" s="43" t="inlineStr">
        <is>
          <t>Stage 7 — Full E2E</t>
        </is>
      </c>
      <c r="C8" s="43" t="inlineStr">
        <is>
          <t>Door → HA</t>
        </is>
      </c>
      <c r="D8" s="43" t="inlineStr">
        <is>
          <t>Theme persistence</t>
        </is>
      </c>
      <c r="E8" s="43" t="inlineStr">
        <is>
          <t>Apply theme, reboot door device</t>
        </is>
      </c>
      <c r="F8" s="43" t="inlineStr">
        <is>
          <t>Selected theme persists</t>
        </is>
      </c>
      <c r="G8" s="55" t="inlineStr">
        <is>
          <t>PENDING</t>
        </is>
      </c>
      <c r="H8" s="43" t="str"/>
      <c r="I8" s="43" t="str"/>
      <c r="J8" s="43" t="str"/>
      <c r="K8" s="58" t="inlineStr">
        <is>
          <t>High</t>
        </is>
      </c>
      <c r="L8" s="43" t="inlineStr">
        <is>
          <t>Firmware</t>
        </is>
      </c>
      <c r="M8" s="43" t="inlineStr">
        <is>
          <t>No</t>
        </is>
      </c>
      <c r="N8" s="43" t="inlineStr">
        <is>
          <t>No</t>
        </is>
      </c>
      <c r="O8" s="43" t="str"/>
    </row>
    <row r="9">
      <c r="A9" s="54" t="inlineStr">
        <is>
          <t>E2E-05</t>
        </is>
      </c>
      <c r="B9" s="44" t="inlineStr">
        <is>
          <t>Stage 7 — Full E2E</t>
        </is>
      </c>
      <c r="C9" s="44" t="inlineStr">
        <is>
          <t>Bedside → HA</t>
        </is>
      </c>
      <c r="D9" s="44" t="inlineStr">
        <is>
          <t>Bedside OFF path</t>
        </is>
      </c>
      <c r="E9" s="44" t="inlineStr">
        <is>
          <t>LEFT gesture</t>
        </is>
      </c>
      <c r="F9" s="44" t="inlineStr">
        <is>
          <t>Bedroom group turns OFF</t>
        </is>
      </c>
      <c r="G9" s="55" t="inlineStr">
        <is>
          <t>PENDING</t>
        </is>
      </c>
      <c r="H9" s="44" t="str"/>
      <c r="I9" s="44" t="str"/>
      <c r="J9" s="44" t="str"/>
      <c r="K9" s="60" t="inlineStr">
        <is>
          <t>Critical</t>
        </is>
      </c>
      <c r="L9" s="44" t="inlineStr">
        <is>
          <t>Home Assistant</t>
        </is>
      </c>
      <c r="M9" s="44" t="inlineStr">
        <is>
          <t>Yes</t>
        </is>
      </c>
      <c r="N9" s="44" t="inlineStr">
        <is>
          <t>No</t>
        </is>
      </c>
      <c r="O9" s="44" t="str"/>
    </row>
    <row r="10">
      <c r="A10" s="57" t="inlineStr">
        <is>
          <t>E2E-06</t>
        </is>
      </c>
      <c r="B10" s="43" t="inlineStr">
        <is>
          <t>Stage 7 — Full E2E</t>
        </is>
      </c>
      <c r="C10" s="43" t="inlineStr">
        <is>
          <t>Bedside → HA</t>
        </is>
      </c>
      <c r="D10" s="43" t="inlineStr">
        <is>
          <t>Bedside ON path</t>
        </is>
      </c>
      <c r="E10" s="43" t="inlineStr">
        <is>
          <t>RIGHT gesture</t>
        </is>
      </c>
      <c r="F10" s="43" t="inlineStr">
        <is>
          <t>Bedroom group turns ON</t>
        </is>
      </c>
      <c r="G10" s="55" t="inlineStr">
        <is>
          <t>PENDING</t>
        </is>
      </c>
      <c r="H10" s="43" t="str"/>
      <c r="I10" s="43" t="str"/>
      <c r="J10" s="43" t="str"/>
      <c r="K10" s="59" t="inlineStr">
        <is>
          <t>Critical</t>
        </is>
      </c>
      <c r="L10" s="43" t="inlineStr">
        <is>
          <t>Home Assistant</t>
        </is>
      </c>
      <c r="M10" s="43" t="inlineStr">
        <is>
          <t>Yes</t>
        </is>
      </c>
      <c r="N10" s="43" t="inlineStr">
        <is>
          <t>No</t>
        </is>
      </c>
      <c r="O10" s="43" t="str"/>
    </row>
    <row r="11">
      <c r="A11" s="54" t="inlineStr">
        <is>
          <t>E2E-07</t>
        </is>
      </c>
      <c r="B11" s="44" t="inlineStr">
        <is>
          <t>Stage 7 — Full E2E</t>
        </is>
      </c>
      <c r="C11" s="44" t="inlineStr">
        <is>
          <t>Recovery</t>
        </is>
      </c>
      <c r="D11" s="44" t="inlineStr">
        <is>
          <t>Raspberry Pi reboot</t>
        </is>
      </c>
      <c r="E11" s="44" t="inlineStr">
        <is>
          <t>Reboot Pi</t>
        </is>
      </c>
      <c r="F11" s="44" t="inlineStr">
        <is>
          <t>ESP devices reconnect and controls recover</t>
        </is>
      </c>
      <c r="G11" s="55" t="inlineStr">
        <is>
          <t>PENDING</t>
        </is>
      </c>
      <c r="H11" s="44" t="str"/>
      <c r="I11" s="44" t="str"/>
      <c r="J11" s="44" t="str"/>
      <c r="K11" s="56" t="inlineStr">
        <is>
          <t>High</t>
        </is>
      </c>
      <c r="L11" s="44" t="inlineStr">
        <is>
          <t>Home Assistant</t>
        </is>
      </c>
      <c r="M11" s="44" t="inlineStr">
        <is>
          <t>No</t>
        </is>
      </c>
      <c r="N11" s="44" t="inlineStr">
        <is>
          <t>No</t>
        </is>
      </c>
      <c r="O11" s="44" t="str"/>
    </row>
    <row r="12">
      <c r="A12" s="57" t="inlineStr">
        <is>
          <t>E2E-08</t>
        </is>
      </c>
      <c r="B12" s="43" t="inlineStr">
        <is>
          <t>Stage 7 — Full E2E</t>
        </is>
      </c>
      <c r="C12" s="43" t="inlineStr">
        <is>
          <t>Recovery</t>
        </is>
      </c>
      <c r="D12" s="43" t="inlineStr">
        <is>
          <t>Door reboot</t>
        </is>
      </c>
      <c r="E12" s="43" t="inlineStr">
        <is>
          <t>Reboot door-side board</t>
        </is>
      </c>
      <c r="F12" s="43" t="inlineStr">
        <is>
          <t>Theme persists and controls work</t>
        </is>
      </c>
      <c r="G12" s="55" t="inlineStr">
        <is>
          <t>PENDING</t>
        </is>
      </c>
      <c r="H12" s="43" t="str"/>
      <c r="I12" s="43" t="str"/>
      <c r="J12" s="43" t="str"/>
      <c r="K12" s="58" t="inlineStr">
        <is>
          <t>High</t>
        </is>
      </c>
      <c r="L12" s="43" t="inlineStr">
        <is>
          <t>Firmware</t>
        </is>
      </c>
      <c r="M12" s="43" t="inlineStr">
        <is>
          <t>No</t>
        </is>
      </c>
      <c r="N12" s="43" t="inlineStr">
        <is>
          <t>No</t>
        </is>
      </c>
      <c r="O12" s="43" t="str"/>
    </row>
    <row r="13">
      <c r="A13" s="54" t="inlineStr">
        <is>
          <t>E2E-09</t>
        </is>
      </c>
      <c r="B13" s="44" t="inlineStr">
        <is>
          <t>Stage 7 — Full E2E</t>
        </is>
      </c>
      <c r="C13" s="44" t="inlineStr">
        <is>
          <t>Recovery</t>
        </is>
      </c>
      <c r="D13" s="44" t="inlineStr">
        <is>
          <t>Bedside reboot</t>
        </is>
      </c>
      <c r="E13" s="44" t="inlineStr">
        <is>
          <t>Reboot bedside board</t>
        </is>
      </c>
      <c r="F13" s="44" t="inlineStr">
        <is>
          <t>Gestures resume</t>
        </is>
      </c>
      <c r="G13" s="55" t="inlineStr">
        <is>
          <t>PENDING</t>
        </is>
      </c>
      <c r="H13" s="44" t="str"/>
      <c r="I13" s="44" t="str"/>
      <c r="J13" s="44" t="str"/>
      <c r="K13" s="56" t="inlineStr">
        <is>
          <t>High</t>
        </is>
      </c>
      <c r="L13" s="44" t="inlineStr">
        <is>
          <t>Firmware</t>
        </is>
      </c>
      <c r="M13" s="44" t="inlineStr">
        <is>
          <t>No</t>
        </is>
      </c>
      <c r="N13" s="44" t="inlineStr">
        <is>
          <t>No</t>
        </is>
      </c>
      <c r="O13" s="44" t="str"/>
    </row>
    <row r="14">
      <c r="A14" s="57" t="inlineStr">
        <is>
          <t>E2E-10</t>
        </is>
      </c>
      <c r="B14" s="43" t="inlineStr">
        <is>
          <t>Stage 7 — Full E2E</t>
        </is>
      </c>
      <c r="C14" s="43" t="inlineStr">
        <is>
          <t>Soak</t>
        </is>
      </c>
      <c r="D14" s="43" t="inlineStr">
        <is>
          <t>30-minute soak</t>
        </is>
      </c>
      <c r="E14" s="43" t="inlineStr">
        <is>
          <t>Leave system running and test intermittently</t>
        </is>
      </c>
      <c r="F14" s="43" t="inlineStr">
        <is>
          <t>No crashes, disconnect loops, UI lockups</t>
        </is>
      </c>
      <c r="G14" s="55" t="inlineStr">
        <is>
          <t>PENDING</t>
        </is>
      </c>
      <c r="H14" s="43" t="str"/>
      <c r="I14" s="43" t="str"/>
      <c r="J14" s="43" t="str"/>
      <c r="K14" s="58" t="inlineStr">
        <is>
          <t>High</t>
        </is>
      </c>
      <c r="L14" s="43" t="inlineStr">
        <is>
          <t>Hardware</t>
        </is>
      </c>
      <c r="M14" s="43" t="inlineStr">
        <is>
          <t>No</t>
        </is>
      </c>
      <c r="N14" s="43" t="inlineStr">
        <is>
          <t>No</t>
        </is>
      </c>
      <c r="O14" s="43" t="str"/>
    </row>
    <row r="15">
      <c r="A15" s="32" t="n"/>
      <c r="B15" s="32" t="n"/>
      <c r="C15" s="32" t="n"/>
      <c r="D15" s="32" t="n"/>
      <c r="E15" s="32" t="n"/>
      <c r="F15" s="32" t="n"/>
      <c r="G15" s="32" t="n"/>
      <c r="H15" s="32" t="n"/>
      <c r="I15" s="32" t="n"/>
      <c r="J15" s="32" t="n"/>
      <c r="K15" s="32" t="n"/>
      <c r="L15" s="32" t="n"/>
      <c r="M15" s="32" t="n"/>
      <c r="N15" s="32" t="n"/>
      <c r="O15" s="32" t="n"/>
    </row>
    <row r="16">
      <c r="A16" s="32" t="n"/>
      <c r="B16" s="32" t="n"/>
      <c r="C16" s="32" t="n"/>
      <c r="D16" s="32" t="n"/>
      <c r="E16" s="32" t="n"/>
      <c r="F16" s="32" t="n"/>
      <c r="G16" s="32" t="n"/>
      <c r="H16" s="32" t="n"/>
      <c r="I16" s="32" t="n"/>
      <c r="J16" s="32" t="n"/>
      <c r="K16" s="32" t="n"/>
      <c r="L16" s="32" t="n"/>
      <c r="M16" s="32" t="n"/>
      <c r="N16" s="32" t="n"/>
      <c r="O16" s="32" t="n"/>
    </row>
    <row r="17">
      <c r="A17" s="32" t="n"/>
      <c r="B17" s="32" t="n"/>
      <c r="C17" s="32" t="n"/>
      <c r="D17" s="32" t="n"/>
      <c r="E17" s="32" t="n"/>
      <c r="F17" s="32" t="n"/>
      <c r="G17" s="32" t="n"/>
      <c r="H17" s="32" t="n"/>
      <c r="I17" s="32" t="n"/>
      <c r="J17" s="32" t="n"/>
      <c r="K17" s="32" t="n"/>
      <c r="L17" s="32" t="n"/>
      <c r="M17" s="32" t="n"/>
      <c r="N17" s="32" t="n"/>
      <c r="O17" s="32" t="n"/>
    </row>
    <row r="18">
      <c r="A18" s="32" t="n"/>
      <c r="B18" s="32" t="n"/>
      <c r="C18" s="32" t="n"/>
      <c r="D18" s="32" t="n"/>
      <c r="E18" s="32" t="n"/>
      <c r="F18" s="32" t="n"/>
      <c r="G18" s="32" t="n"/>
      <c r="H18" s="32" t="n"/>
      <c r="I18" s="32" t="n"/>
      <c r="J18" s="32" t="n"/>
      <c r="K18" s="32" t="n"/>
      <c r="L18" s="32" t="n"/>
      <c r="M18" s="32" t="n"/>
      <c r="N18" s="32" t="n"/>
      <c r="O18" s="32" t="n"/>
    </row>
    <row r="19">
      <c r="A19" s="32" t="n"/>
      <c r="B19" s="32" t="n"/>
      <c r="C19" s="32" t="n"/>
      <c r="D19" s="32" t="n"/>
      <c r="E19" s="32" t="n"/>
      <c r="F19" s="32" t="n"/>
      <c r="G19" s="32" t="n"/>
      <c r="H19" s="32" t="n"/>
      <c r="I19" s="32" t="n"/>
      <c r="J19" s="32" t="n"/>
      <c r="K19" s="32" t="n"/>
      <c r="L19" s="32" t="n"/>
      <c r="M19" s="32" t="n"/>
      <c r="N19" s="32" t="n"/>
      <c r="O19" s="32" t="n"/>
    </row>
    <row r="20">
      <c r="A20" s="32" t="n"/>
      <c r="B20" s="32" t="n"/>
      <c r="C20" s="32" t="n"/>
      <c r="D20" s="32" t="n"/>
      <c r="E20" s="32" t="n"/>
      <c r="F20" s="32" t="n"/>
      <c r="G20" s="32" t="n"/>
      <c r="H20" s="32" t="n"/>
      <c r="I20" s="32" t="n"/>
      <c r="J20" s="32" t="n"/>
      <c r="K20" s="32" t="n"/>
      <c r="L20" s="32" t="n"/>
      <c r="M20" s="32" t="n"/>
      <c r="N20" s="32" t="n"/>
      <c r="O20" s="32" t="n"/>
    </row>
    <row r="21">
      <c r="A21" s="32" t="n"/>
      <c r="B21" s="32" t="n"/>
      <c r="C21" s="32" t="n"/>
      <c r="D21" s="32" t="n"/>
      <c r="E21" s="32" t="n"/>
      <c r="F21" s="32" t="n"/>
      <c r="G21" s="32" t="n"/>
      <c r="H21" s="32" t="n"/>
      <c r="I21" s="32" t="n"/>
      <c r="J21" s="32" t="n"/>
      <c r="K21" s="32" t="n"/>
      <c r="L21" s="32" t="n"/>
      <c r="M21" s="32" t="n"/>
      <c r="N21" s="32" t="n"/>
      <c r="O21" s="32" t="n"/>
    </row>
    <row r="22">
      <c r="A22" s="32" t="n"/>
      <c r="B22" s="32" t="n"/>
      <c r="C22" s="32" t="n"/>
      <c r="D22" s="32" t="n"/>
      <c r="E22" s="32" t="n"/>
      <c r="F22" s="32" t="n"/>
      <c r="G22" s="32" t="n"/>
      <c r="H22" s="32" t="n"/>
      <c r="I22" s="32" t="n"/>
      <c r="J22" s="32" t="n"/>
      <c r="K22" s="32" t="n"/>
      <c r="L22" s="32" t="n"/>
      <c r="M22" s="32" t="n"/>
      <c r="N22" s="32" t="n"/>
      <c r="O22" s="32" t="n"/>
    </row>
    <row r="23">
      <c r="A23" s="32" t="n"/>
      <c r="B23" s="32" t="n"/>
      <c r="C23" s="32" t="n"/>
      <c r="D23" s="32" t="n"/>
      <c r="E23" s="32" t="n"/>
      <c r="F23" s="32" t="n"/>
      <c r="G23" s="32" t="n"/>
      <c r="H23" s="32" t="n"/>
      <c r="I23" s="32" t="n"/>
      <c r="J23" s="32" t="n"/>
      <c r="K23" s="32" t="n"/>
      <c r="L23" s="32" t="n"/>
      <c r="M23" s="32" t="n"/>
      <c r="N23" s="32" t="n"/>
      <c r="O23" s="32" t="n"/>
    </row>
    <row r="24">
      <c r="A24" s="32" t="n"/>
      <c r="B24" s="32" t="n"/>
      <c r="C24" s="32" t="n"/>
      <c r="D24" s="32" t="n"/>
      <c r="E24" s="32" t="n"/>
      <c r="F24" s="32" t="n"/>
      <c r="G24" s="32" t="n"/>
      <c r="H24" s="32" t="n"/>
      <c r="I24" s="32" t="n"/>
      <c r="J24" s="32" t="n"/>
      <c r="K24" s="32" t="n"/>
      <c r="L24" s="32" t="n"/>
      <c r="M24" s="32" t="n"/>
      <c r="N24" s="32" t="n"/>
      <c r="O24" s="32" t="n"/>
    </row>
    <row r="25">
      <c r="A25" s="32" t="n"/>
      <c r="B25" s="32" t="n"/>
      <c r="C25" s="32" t="n"/>
      <c r="D25" s="32" t="n"/>
      <c r="E25" s="32" t="n"/>
      <c r="F25" s="32" t="n"/>
      <c r="G25" s="32" t="n"/>
      <c r="H25" s="32" t="n"/>
      <c r="I25" s="32" t="n"/>
      <c r="J25" s="32" t="n"/>
      <c r="K25" s="32" t="n"/>
      <c r="L25" s="32" t="n"/>
      <c r="M25" s="32" t="n"/>
      <c r="N25" s="32" t="n"/>
      <c r="O25" s="32" t="n"/>
    </row>
    <row r="26">
      <c r="A26" s="32" t="n"/>
      <c r="B26" s="32" t="n"/>
      <c r="C26" s="32" t="n"/>
      <c r="D26" s="32" t="n"/>
      <c r="E26" s="32" t="n"/>
      <c r="F26" s="32" t="n"/>
      <c r="G26" s="32" t="n"/>
      <c r="H26" s="32" t="n"/>
      <c r="I26" s="32" t="n"/>
      <c r="J26" s="32" t="n"/>
      <c r="K26" s="32" t="n"/>
      <c r="L26" s="32" t="n"/>
      <c r="M26" s="32" t="n"/>
      <c r="N26" s="32" t="n"/>
      <c r="O26" s="32" t="n"/>
    </row>
    <row r="27">
      <c r="A27" s="32" t="n"/>
      <c r="B27" s="32" t="n"/>
      <c r="C27" s="32" t="n"/>
      <c r="D27" s="32" t="n"/>
      <c r="E27" s="32" t="n"/>
      <c r="F27" s="32" t="n"/>
      <c r="G27" s="32" t="n"/>
      <c r="H27" s="32" t="n"/>
      <c r="I27" s="32" t="n"/>
      <c r="J27" s="32" t="n"/>
      <c r="K27" s="32" t="n"/>
      <c r="L27" s="32" t="n"/>
      <c r="M27" s="32" t="n"/>
      <c r="N27" s="32" t="n"/>
      <c r="O27" s="32" t="n"/>
    </row>
    <row r="28">
      <c r="A28" s="32" t="n"/>
      <c r="B28" s="32" t="n"/>
      <c r="C28" s="32" t="n"/>
      <c r="D28" s="32" t="n"/>
      <c r="E28" s="32" t="n"/>
      <c r="F28" s="32" t="n"/>
      <c r="G28" s="32" t="n"/>
      <c r="H28" s="32" t="n"/>
      <c r="I28" s="32" t="n"/>
      <c r="J28" s="32" t="n"/>
      <c r="K28" s="32" t="n"/>
      <c r="L28" s="32" t="n"/>
      <c r="M28" s="32" t="n"/>
      <c r="N28" s="32" t="n"/>
      <c r="O28" s="32" t="n"/>
    </row>
    <row r="29">
      <c r="A29" s="32" t="n"/>
      <c r="B29" s="32" t="n"/>
      <c r="C29" s="32" t="n"/>
      <c r="D29" s="32" t="n"/>
      <c r="E29" s="32" t="n"/>
      <c r="F29" s="32" t="n"/>
      <c r="G29" s="32" t="n"/>
      <c r="H29" s="32" t="n"/>
      <c r="I29" s="32" t="n"/>
      <c r="J29" s="32" t="n"/>
      <c r="K29" s="32" t="n"/>
      <c r="L29" s="32" t="n"/>
      <c r="M29" s="32" t="n"/>
      <c r="N29" s="32" t="n"/>
      <c r="O29" s="32" t="n"/>
    </row>
    <row r="30">
      <c r="A30" s="32" t="n"/>
      <c r="B30" s="32" t="n"/>
      <c r="C30" s="32" t="n"/>
      <c r="D30" s="32" t="n"/>
      <c r="E30" s="32" t="n"/>
      <c r="F30" s="32" t="n"/>
      <c r="G30" s="32" t="n"/>
      <c r="H30" s="32" t="n"/>
      <c r="I30" s="32" t="n"/>
      <c r="J30" s="32" t="n"/>
      <c r="K30" s="32" t="n"/>
      <c r="L30" s="32" t="n"/>
      <c r="M30" s="32" t="n"/>
      <c r="N30" s="32" t="n"/>
      <c r="O30" s="32" t="n"/>
    </row>
    <row r="31">
      <c r="A31" s="32" t="n"/>
      <c r="B31" s="32" t="n"/>
      <c r="C31" s="32" t="n"/>
      <c r="D31" s="32" t="n"/>
      <c r="E31" s="32" t="n"/>
      <c r="F31" s="32" t="n"/>
      <c r="G31" s="32" t="n"/>
      <c r="H31" s="32" t="n"/>
      <c r="I31" s="32" t="n"/>
      <c r="J31" s="32" t="n"/>
      <c r="K31" s="32" t="n"/>
      <c r="L31" s="32" t="n"/>
      <c r="M31" s="32" t="n"/>
      <c r="N31" s="32" t="n"/>
      <c r="O31" s="32" t="n"/>
    </row>
    <row r="32">
      <c r="A32" s="32" t="n"/>
      <c r="B32" s="32" t="n"/>
      <c r="C32" s="32" t="n"/>
      <c r="D32" s="32" t="n"/>
      <c r="E32" s="32" t="n"/>
      <c r="F32" s="32" t="n"/>
      <c r="G32" s="32" t="n"/>
      <c r="H32" s="32" t="n"/>
      <c r="I32" s="32" t="n"/>
      <c r="J32" s="32" t="n"/>
      <c r="K32" s="32" t="n"/>
      <c r="L32" s="32" t="n"/>
      <c r="M32" s="32" t="n"/>
      <c r="N32" s="32" t="n"/>
      <c r="O32" s="32" t="n"/>
    </row>
    <row r="33">
      <c r="A33" s="32" t="n"/>
      <c r="B33" s="32" t="n"/>
      <c r="C33" s="32" t="n"/>
      <c r="D33" s="32" t="n"/>
      <c r="E33" s="32" t="n"/>
      <c r="F33" s="32" t="n"/>
      <c r="G33" s="32" t="n"/>
      <c r="H33" s="32" t="n"/>
      <c r="I33" s="32" t="n"/>
      <c r="J33" s="32" t="n"/>
      <c r="K33" s="32" t="n"/>
      <c r="L33" s="32" t="n"/>
      <c r="M33" s="32" t="n"/>
      <c r="N33" s="32" t="n"/>
      <c r="O33" s="32" t="n"/>
    </row>
    <row r="34">
      <c r="A34" s="32" t="n"/>
      <c r="B34" s="32" t="n"/>
      <c r="C34" s="32" t="n"/>
      <c r="D34" s="32" t="n"/>
      <c r="E34" s="32" t="n"/>
      <c r="F34" s="32" t="n"/>
      <c r="G34" s="32" t="n"/>
      <c r="H34" s="32" t="n"/>
      <c r="I34" s="32" t="n"/>
      <c r="J34" s="32" t="n"/>
      <c r="K34" s="32" t="n"/>
      <c r="L34" s="32" t="n"/>
      <c r="M34" s="32" t="n"/>
      <c r="N34" s="32" t="n"/>
      <c r="O34" s="32" t="n"/>
    </row>
    <row r="35">
      <c r="A35" s="32" t="n"/>
      <c r="B35" s="32" t="n"/>
      <c r="C35" s="32" t="n"/>
      <c r="D35" s="32" t="n"/>
      <c r="E35" s="32" t="n"/>
      <c r="F35" s="32" t="n"/>
      <c r="G35" s="32" t="n"/>
      <c r="H35" s="32" t="n"/>
      <c r="I35" s="32" t="n"/>
      <c r="J35" s="32" t="n"/>
      <c r="K35" s="32" t="n"/>
      <c r="L35" s="32" t="n"/>
      <c r="M35" s="32" t="n"/>
      <c r="N35" s="32" t="n"/>
      <c r="O35" s="32" t="n"/>
    </row>
    <row r="36">
      <c r="A36" s="32" t="n"/>
      <c r="B36" s="32" t="n"/>
      <c r="C36" s="32" t="n"/>
      <c r="D36" s="32" t="n"/>
      <c r="E36" s="32" t="n"/>
      <c r="F36" s="32" t="n"/>
      <c r="G36" s="32" t="n"/>
      <c r="H36" s="32" t="n"/>
      <c r="I36" s="32" t="n"/>
      <c r="J36" s="32" t="n"/>
      <c r="K36" s="32" t="n"/>
      <c r="L36" s="32" t="n"/>
      <c r="M36" s="32" t="n"/>
      <c r="N36" s="32" t="n"/>
      <c r="O36" s="32" t="n"/>
    </row>
    <row r="37">
      <c r="A37" s="32" t="n"/>
      <c r="B37" s="32" t="n"/>
      <c r="C37" s="32" t="n"/>
      <c r="D37" s="32" t="n"/>
      <c r="E37" s="32" t="n"/>
      <c r="F37" s="32" t="n"/>
      <c r="G37" s="32" t="n"/>
      <c r="H37" s="32" t="n"/>
      <c r="I37" s="32" t="n"/>
      <c r="J37" s="32" t="n"/>
      <c r="K37" s="32" t="n"/>
      <c r="L37" s="32" t="n"/>
      <c r="M37" s="32" t="n"/>
      <c r="N37" s="32" t="n"/>
      <c r="O37" s="32" t="n"/>
    </row>
    <row r="38">
      <c r="A38" s="32" t="n"/>
      <c r="B38" s="32" t="n"/>
      <c r="C38" s="32" t="n"/>
      <c r="D38" s="32" t="n"/>
      <c r="E38" s="32" t="n"/>
      <c r="F38" s="32" t="n"/>
      <c r="G38" s="32" t="n"/>
      <c r="H38" s="32" t="n"/>
      <c r="I38" s="32" t="n"/>
      <c r="J38" s="32" t="n"/>
      <c r="K38" s="32" t="n"/>
      <c r="L38" s="32" t="n"/>
      <c r="M38" s="32" t="n"/>
      <c r="N38" s="32" t="n"/>
      <c r="O38" s="32" t="n"/>
    </row>
    <row r="39">
      <c r="A39" s="32" t="n"/>
      <c r="B39" s="32" t="n"/>
      <c r="C39" s="32" t="n"/>
      <c r="D39" s="32" t="n"/>
      <c r="E39" s="32" t="n"/>
      <c r="F39" s="32" t="n"/>
      <c r="G39" s="32" t="n"/>
      <c r="H39" s="32" t="n"/>
      <c r="I39" s="32" t="n"/>
      <c r="J39" s="32" t="n"/>
      <c r="K39" s="32" t="n"/>
      <c r="L39" s="32" t="n"/>
      <c r="M39" s="32" t="n"/>
      <c r="N39" s="32" t="n"/>
      <c r="O39" s="32" t="n"/>
    </row>
    <row r="40">
      <c r="A40" s="32" t="n"/>
      <c r="B40" s="32" t="n"/>
      <c r="C40" s="32" t="n"/>
      <c r="D40" s="32" t="n"/>
      <c r="E40" s="32" t="n"/>
      <c r="F40" s="32" t="n"/>
      <c r="G40" s="32" t="n"/>
      <c r="H40" s="32" t="n"/>
      <c r="I40" s="32" t="n"/>
      <c r="J40" s="32" t="n"/>
      <c r="K40" s="32" t="n"/>
      <c r="L40" s="32" t="n"/>
      <c r="M40" s="32" t="n"/>
      <c r="N40" s="32" t="n"/>
      <c r="O40" s="32" t="n"/>
    </row>
    <row r="41">
      <c r="A41" s="32" t="n"/>
      <c r="B41" s="32" t="n"/>
      <c r="C41" s="32" t="n"/>
      <c r="D41" s="32" t="n"/>
      <c r="E41" s="32" t="n"/>
      <c r="F41" s="32" t="n"/>
      <c r="G41" s="32" t="n"/>
      <c r="H41" s="32" t="n"/>
      <c r="I41" s="32" t="n"/>
      <c r="J41" s="32" t="n"/>
      <c r="K41" s="32" t="n"/>
      <c r="L41" s="32" t="n"/>
      <c r="M41" s="32" t="n"/>
      <c r="N41" s="32" t="n"/>
      <c r="O41" s="32" t="n"/>
    </row>
    <row r="42">
      <c r="A42" s="32" t="n"/>
      <c r="B42" s="32" t="n"/>
      <c r="C42" s="32" t="n"/>
      <c r="D42" s="32" t="n"/>
      <c r="E42" s="32" t="n"/>
      <c r="F42" s="32" t="n"/>
      <c r="G42" s="32" t="n"/>
      <c r="H42" s="32" t="n"/>
      <c r="I42" s="32" t="n"/>
      <c r="J42" s="32" t="n"/>
      <c r="K42" s="32" t="n"/>
      <c r="L42" s="32" t="n"/>
      <c r="M42" s="32" t="n"/>
      <c r="N42" s="32" t="n"/>
      <c r="O42" s="32" t="n"/>
    </row>
    <row r="43">
      <c r="A43" s="32" t="n"/>
      <c r="B43" s="32" t="n"/>
      <c r="C43" s="32" t="n"/>
      <c r="D43" s="32" t="n"/>
      <c r="E43" s="32" t="n"/>
      <c r="F43" s="32" t="n"/>
      <c r="G43" s="32" t="n"/>
      <c r="H43" s="32" t="n"/>
      <c r="I43" s="32" t="n"/>
      <c r="J43" s="32" t="n"/>
      <c r="K43" s="32" t="n"/>
      <c r="L43" s="32" t="n"/>
      <c r="M43" s="32" t="n"/>
      <c r="N43" s="32" t="n"/>
      <c r="O43" s="32" t="n"/>
    </row>
    <row r="44">
      <c r="A44" s="32" t="n"/>
      <c r="B44" s="32" t="n"/>
      <c r="C44" s="32" t="n"/>
      <c r="D44" s="32" t="n"/>
      <c r="E44" s="32" t="n"/>
      <c r="F44" s="32" t="n"/>
      <c r="G44" s="32" t="n"/>
      <c r="H44" s="32" t="n"/>
      <c r="I44" s="32" t="n"/>
      <c r="J44" s="32" t="n"/>
      <c r="K44" s="32" t="n"/>
      <c r="L44" s="32" t="n"/>
      <c r="M44" s="32" t="n"/>
      <c r="N44" s="32" t="n"/>
      <c r="O44" s="32" t="n"/>
    </row>
    <row r="45">
      <c r="A45" s="32" t="n"/>
      <c r="B45" s="32" t="n"/>
      <c r="C45" s="32" t="n"/>
      <c r="D45" s="32" t="n"/>
      <c r="E45" s="32" t="n"/>
      <c r="F45" s="32" t="n"/>
      <c r="G45" s="32" t="n"/>
      <c r="H45" s="32" t="n"/>
      <c r="I45" s="32" t="n"/>
      <c r="J45" s="32" t="n"/>
      <c r="K45" s="32" t="n"/>
      <c r="L45" s="32" t="n"/>
      <c r="M45" s="32" t="n"/>
      <c r="N45" s="32" t="n"/>
      <c r="O45" s="32" t="n"/>
    </row>
    <row r="46">
      <c r="A46" s="32" t="n"/>
      <c r="B46" s="32" t="n"/>
      <c r="C46" s="32" t="n"/>
      <c r="D46" s="32" t="n"/>
      <c r="E46" s="32" t="n"/>
      <c r="F46" s="32" t="n"/>
      <c r="G46" s="32" t="n"/>
      <c r="H46" s="32" t="n"/>
      <c r="I46" s="32" t="n"/>
      <c r="J46" s="32" t="n"/>
      <c r="K46" s="32" t="n"/>
      <c r="L46" s="32" t="n"/>
      <c r="M46" s="32" t="n"/>
      <c r="N46" s="32" t="n"/>
      <c r="O46" s="32" t="n"/>
    </row>
    <row r="47">
      <c r="A47" s="32" t="n"/>
      <c r="B47" s="32" t="n"/>
      <c r="C47" s="32" t="n"/>
      <c r="D47" s="32" t="n"/>
      <c r="E47" s="32" t="n"/>
      <c r="F47" s="32" t="n"/>
      <c r="G47" s="32" t="n"/>
      <c r="H47" s="32" t="n"/>
      <c r="I47" s="32" t="n"/>
      <c r="J47" s="32" t="n"/>
      <c r="K47" s="32" t="n"/>
      <c r="L47" s="32" t="n"/>
      <c r="M47" s="32" t="n"/>
      <c r="N47" s="32" t="n"/>
      <c r="O47" s="32" t="n"/>
    </row>
    <row r="48">
      <c r="A48" s="32" t="n"/>
      <c r="B48" s="32" t="n"/>
      <c r="C48" s="32" t="n"/>
      <c r="D48" s="32" t="n"/>
      <c r="E48" s="32" t="n"/>
      <c r="F48" s="32" t="n"/>
      <c r="G48" s="32" t="n"/>
      <c r="H48" s="32" t="n"/>
      <c r="I48" s="32" t="n"/>
      <c r="J48" s="32" t="n"/>
      <c r="K48" s="32" t="n"/>
      <c r="L48" s="32" t="n"/>
      <c r="M48" s="32" t="n"/>
      <c r="N48" s="32" t="n"/>
      <c r="O48" s="32" t="n"/>
    </row>
    <row r="49">
      <c r="A49" s="32" t="n"/>
      <c r="B49" s="32" t="n"/>
      <c r="C49" s="32" t="n"/>
      <c r="D49" s="32" t="n"/>
      <c r="E49" s="32" t="n"/>
      <c r="F49" s="32" t="n"/>
      <c r="G49" s="32" t="n"/>
      <c r="H49" s="32" t="n"/>
      <c r="I49" s="32" t="n"/>
      <c r="J49" s="32" t="n"/>
      <c r="K49" s="32" t="n"/>
      <c r="L49" s="32" t="n"/>
      <c r="M49" s="32" t="n"/>
      <c r="N49" s="32" t="n"/>
      <c r="O49" s="32" t="n"/>
    </row>
    <row r="50">
      <c r="A50" s="32" t="n"/>
      <c r="B50" s="32" t="n"/>
      <c r="C50" s="32" t="n"/>
      <c r="D50" s="32" t="n"/>
      <c r="E50" s="32" t="n"/>
      <c r="F50" s="32" t="n"/>
      <c r="G50" s="32" t="n"/>
      <c r="H50" s="32" t="n"/>
      <c r="I50" s="32" t="n"/>
      <c r="J50" s="32" t="n"/>
      <c r="K50" s="32" t="n"/>
      <c r="L50" s="32" t="n"/>
      <c r="M50" s="32" t="n"/>
      <c r="N50" s="32" t="n"/>
      <c r="O50" s="32" t="n"/>
    </row>
    <row r="51">
      <c r="A51" s="32" t="n"/>
      <c r="B51" s="32" t="n"/>
      <c r="C51" s="32" t="n"/>
      <c r="D51" s="32" t="n"/>
      <c r="E51" s="32" t="n"/>
      <c r="F51" s="32" t="n"/>
      <c r="G51" s="32" t="n"/>
      <c r="H51" s="32" t="n"/>
      <c r="I51" s="32" t="n"/>
      <c r="J51" s="32" t="n"/>
      <c r="K51" s="32" t="n"/>
      <c r="L51" s="32" t="n"/>
      <c r="M51" s="32" t="n"/>
      <c r="N51" s="32" t="n"/>
      <c r="O51" s="32" t="n"/>
    </row>
    <row r="52">
      <c r="A52" s="32" t="n"/>
      <c r="B52" s="32" t="n"/>
      <c r="C52" s="32" t="n"/>
      <c r="D52" s="32" t="n"/>
      <c r="E52" s="32" t="n"/>
      <c r="F52" s="32" t="n"/>
      <c r="G52" s="32" t="n"/>
      <c r="H52" s="32" t="n"/>
      <c r="I52" s="32" t="n"/>
      <c r="J52" s="32" t="n"/>
      <c r="K52" s="32" t="n"/>
      <c r="L52" s="32" t="n"/>
      <c r="M52" s="32" t="n"/>
      <c r="N52" s="32" t="n"/>
      <c r="O52" s="32" t="n"/>
    </row>
    <row r="53">
      <c r="A53" s="32" t="n"/>
      <c r="B53" s="32" t="n"/>
      <c r="C53" s="32" t="n"/>
      <c r="D53" s="32" t="n"/>
      <c r="E53" s="32" t="n"/>
      <c r="F53" s="32" t="n"/>
      <c r="G53" s="32" t="n"/>
      <c r="H53" s="32" t="n"/>
      <c r="I53" s="32" t="n"/>
      <c r="J53" s="32" t="n"/>
      <c r="K53" s="32" t="n"/>
      <c r="L53" s="32" t="n"/>
      <c r="M53" s="32" t="n"/>
      <c r="N53" s="32" t="n"/>
      <c r="O53" s="32" t="n"/>
    </row>
    <row r="54">
      <c r="A54" s="32" t="n"/>
      <c r="B54" s="32" t="n"/>
      <c r="C54" s="32" t="n"/>
      <c r="D54" s="32" t="n"/>
      <c r="E54" s="32" t="n"/>
      <c r="F54" s="32" t="n"/>
      <c r="G54" s="32" t="n"/>
      <c r="H54" s="32" t="n"/>
      <c r="I54" s="32" t="n"/>
      <c r="J54" s="32" t="n"/>
      <c r="K54" s="32" t="n"/>
      <c r="L54" s="32" t="n"/>
      <c r="M54" s="32" t="n"/>
      <c r="N54" s="32" t="n"/>
      <c r="O54" s="32" t="n"/>
    </row>
    <row r="55">
      <c r="A55" s="32" t="n"/>
      <c r="B55" s="32" t="n"/>
      <c r="C55" s="32" t="n"/>
      <c r="D55" s="32" t="n"/>
      <c r="E55" s="32" t="n"/>
      <c r="F55" s="32" t="n"/>
      <c r="G55" s="32" t="n"/>
      <c r="H55" s="32" t="n"/>
      <c r="I55" s="32" t="n"/>
      <c r="J55" s="32" t="n"/>
      <c r="K55" s="32" t="n"/>
      <c r="L55" s="32" t="n"/>
      <c r="M55" s="32" t="n"/>
      <c r="N55" s="32" t="n"/>
      <c r="O55" s="32" t="n"/>
    </row>
    <row r="56">
      <c r="A56" s="32" t="n"/>
      <c r="B56" s="32" t="n"/>
      <c r="C56" s="32" t="n"/>
      <c r="D56" s="32" t="n"/>
      <c r="E56" s="32" t="n"/>
      <c r="F56" s="32" t="n"/>
      <c r="G56" s="32" t="n"/>
      <c r="H56" s="32" t="n"/>
      <c r="I56" s="32" t="n"/>
      <c r="J56" s="32" t="n"/>
      <c r="K56" s="32" t="n"/>
      <c r="L56" s="32" t="n"/>
      <c r="M56" s="32" t="n"/>
      <c r="N56" s="32" t="n"/>
      <c r="O56" s="32" t="n"/>
    </row>
    <row r="57">
      <c r="A57" s="32" t="n"/>
      <c r="B57" s="32" t="n"/>
      <c r="C57" s="32" t="n"/>
      <c r="D57" s="32" t="n"/>
      <c r="E57" s="32" t="n"/>
      <c r="F57" s="32" t="n"/>
      <c r="G57" s="32" t="n"/>
      <c r="H57" s="32" t="n"/>
      <c r="I57" s="32" t="n"/>
      <c r="J57" s="32" t="n"/>
      <c r="K57" s="32" t="n"/>
      <c r="L57" s="32" t="n"/>
      <c r="M57" s="32" t="n"/>
      <c r="N57" s="32" t="n"/>
      <c r="O57" s="32" t="n"/>
    </row>
    <row r="58">
      <c r="A58" s="32" t="n"/>
      <c r="B58" s="32" t="n"/>
      <c r="C58" s="32" t="n"/>
      <c r="D58" s="32" t="n"/>
      <c r="E58" s="32" t="n"/>
      <c r="F58" s="32" t="n"/>
      <c r="G58" s="32" t="n"/>
      <c r="H58" s="32" t="n"/>
      <c r="I58" s="32" t="n"/>
      <c r="J58" s="32" t="n"/>
      <c r="K58" s="32" t="n"/>
      <c r="L58" s="32" t="n"/>
      <c r="M58" s="32" t="n"/>
      <c r="N58" s="32" t="n"/>
      <c r="O58" s="32" t="n"/>
    </row>
    <row r="59">
      <c r="A59" s="32" t="n"/>
      <c r="B59" s="32" t="n"/>
      <c r="C59" s="32" t="n"/>
      <c r="D59" s="32" t="n"/>
      <c r="E59" s="32" t="n"/>
      <c r="F59" s="32" t="n"/>
      <c r="G59" s="32" t="n"/>
      <c r="H59" s="32" t="n"/>
      <c r="I59" s="32" t="n"/>
      <c r="J59" s="32" t="n"/>
      <c r="K59" s="32" t="n"/>
      <c r="L59" s="32" t="n"/>
      <c r="M59" s="32" t="n"/>
      <c r="N59" s="32" t="n"/>
      <c r="O59" s="32" t="n"/>
    </row>
    <row r="60">
      <c r="A60" s="32" t="n"/>
      <c r="B60" s="32" t="n"/>
      <c r="C60" s="32" t="n"/>
      <c r="D60" s="32" t="n"/>
      <c r="E60" s="32" t="n"/>
      <c r="F60" s="32" t="n"/>
      <c r="G60" s="32" t="n"/>
      <c r="H60" s="32" t="n"/>
      <c r="I60" s="32" t="n"/>
      <c r="J60" s="32" t="n"/>
      <c r="K60" s="32" t="n"/>
      <c r="L60" s="32" t="n"/>
      <c r="M60" s="32" t="n"/>
      <c r="N60" s="32" t="n"/>
      <c r="O60" s="32" t="n"/>
    </row>
    <row r="61">
      <c r="A61" s="32" t="n"/>
      <c r="B61" s="32" t="n"/>
      <c r="C61" s="32" t="n"/>
      <c r="D61" s="32" t="n"/>
      <c r="E61" s="32" t="n"/>
      <c r="F61" s="32" t="n"/>
      <c r="G61" s="32" t="n"/>
      <c r="H61" s="32" t="n"/>
      <c r="I61" s="32" t="n"/>
      <c r="J61" s="32" t="n"/>
      <c r="K61" s="32" t="n"/>
      <c r="L61" s="32" t="n"/>
      <c r="M61" s="32" t="n"/>
      <c r="N61" s="32" t="n"/>
      <c r="O61" s="32" t="n"/>
    </row>
    <row r="62">
      <c r="A62" s="32" t="n"/>
      <c r="B62" s="32" t="n"/>
      <c r="C62" s="32" t="n"/>
      <c r="D62" s="32" t="n"/>
      <c r="E62" s="32" t="n"/>
      <c r="F62" s="32" t="n"/>
      <c r="G62" s="32" t="n"/>
      <c r="H62" s="32" t="n"/>
      <c r="I62" s="32" t="n"/>
      <c r="J62" s="32" t="n"/>
      <c r="K62" s="32" t="n"/>
      <c r="L62" s="32" t="n"/>
      <c r="M62" s="32" t="n"/>
      <c r="N62" s="32" t="n"/>
      <c r="O62" s="32" t="n"/>
    </row>
    <row r="63">
      <c r="A63" s="32" t="n"/>
      <c r="B63" s="32" t="n"/>
      <c r="C63" s="32" t="n"/>
      <c r="D63" s="32" t="n"/>
      <c r="E63" s="32" t="n"/>
      <c r="F63" s="32" t="n"/>
      <c r="G63" s="32" t="n"/>
      <c r="H63" s="32" t="n"/>
      <c r="I63" s="32" t="n"/>
      <c r="J63" s="32" t="n"/>
      <c r="K63" s="32" t="n"/>
      <c r="L63" s="32" t="n"/>
      <c r="M63" s="32" t="n"/>
      <c r="N63" s="32" t="n"/>
      <c r="O63" s="32" t="n"/>
    </row>
    <row r="64">
      <c r="A64" s="32" t="n"/>
      <c r="B64" s="32" t="n"/>
      <c r="C64" s="32" t="n"/>
      <c r="D64" s="32" t="n"/>
      <c r="E64" s="32" t="n"/>
      <c r="F64" s="32" t="n"/>
      <c r="G64" s="32" t="n"/>
      <c r="H64" s="32" t="n"/>
      <c r="I64" s="32" t="n"/>
      <c r="J64" s="32" t="n"/>
      <c r="K64" s="32" t="n"/>
      <c r="L64" s="32" t="n"/>
      <c r="M64" s="32" t="n"/>
      <c r="N64" s="32" t="n"/>
      <c r="O64" s="32" t="n"/>
    </row>
    <row r="65">
      <c r="A65" s="32" t="n"/>
      <c r="B65" s="32" t="n"/>
      <c r="C65" s="32" t="n"/>
      <c r="D65" s="32" t="n"/>
      <c r="E65" s="32" t="n"/>
      <c r="F65" s="32" t="n"/>
      <c r="G65" s="32" t="n"/>
      <c r="H65" s="32" t="n"/>
      <c r="I65" s="32" t="n"/>
      <c r="J65" s="32" t="n"/>
      <c r="K65" s="32" t="n"/>
      <c r="L65" s="32" t="n"/>
      <c r="M65" s="32" t="n"/>
      <c r="N65" s="32" t="n"/>
      <c r="O65" s="32" t="n"/>
    </row>
    <row r="66">
      <c r="A66" s="32" t="n"/>
      <c r="B66" s="32" t="n"/>
      <c r="C66" s="32" t="n"/>
      <c r="D66" s="32" t="n"/>
      <c r="E66" s="32" t="n"/>
      <c r="F66" s="32" t="n"/>
      <c r="G66" s="32" t="n"/>
      <c r="H66" s="32" t="n"/>
      <c r="I66" s="32" t="n"/>
      <c r="J66" s="32" t="n"/>
      <c r="K66" s="32" t="n"/>
      <c r="L66" s="32" t="n"/>
      <c r="M66" s="32" t="n"/>
      <c r="N66" s="32" t="n"/>
      <c r="O66" s="32" t="n"/>
    </row>
    <row r="67">
      <c r="A67" s="32" t="n"/>
      <c r="B67" s="32" t="n"/>
      <c r="C67" s="32" t="n"/>
      <c r="D67" s="32" t="n"/>
      <c r="E67" s="32" t="n"/>
      <c r="F67" s="32" t="n"/>
      <c r="G67" s="32" t="n"/>
      <c r="H67" s="32" t="n"/>
      <c r="I67" s="32" t="n"/>
      <c r="J67" s="32" t="n"/>
      <c r="K67" s="32" t="n"/>
      <c r="L67" s="32" t="n"/>
      <c r="M67" s="32" t="n"/>
      <c r="N67" s="32" t="n"/>
      <c r="O67" s="32" t="n"/>
    </row>
    <row r="68">
      <c r="A68" s="32" t="n"/>
      <c r="B68" s="32" t="n"/>
      <c r="C68" s="32" t="n"/>
      <c r="D68" s="32" t="n"/>
      <c r="E68" s="32" t="n"/>
      <c r="F68" s="32" t="n"/>
      <c r="G68" s="32" t="n"/>
      <c r="H68" s="32" t="n"/>
      <c r="I68" s="32" t="n"/>
      <c r="J68" s="32" t="n"/>
      <c r="K68" s="32" t="n"/>
      <c r="L68" s="32" t="n"/>
      <c r="M68" s="32" t="n"/>
      <c r="N68" s="32" t="n"/>
      <c r="O68" s="32" t="n"/>
    </row>
    <row r="69">
      <c r="A69" s="32" t="n"/>
      <c r="B69" s="32" t="n"/>
      <c r="C69" s="32" t="n"/>
      <c r="D69" s="32" t="n"/>
      <c r="E69" s="32" t="n"/>
      <c r="F69" s="32" t="n"/>
      <c r="G69" s="32" t="n"/>
      <c r="H69" s="32" t="n"/>
      <c r="I69" s="32" t="n"/>
      <c r="J69" s="32" t="n"/>
      <c r="K69" s="32" t="n"/>
      <c r="L69" s="32" t="n"/>
      <c r="M69" s="32" t="n"/>
      <c r="N69" s="32" t="n"/>
      <c r="O69" s="32" t="n"/>
    </row>
    <row r="70">
      <c r="A70" s="32" t="n"/>
      <c r="B70" s="32" t="n"/>
      <c r="C70" s="32" t="n"/>
      <c r="D70" s="32" t="n"/>
      <c r="E70" s="32" t="n"/>
      <c r="F70" s="32" t="n"/>
      <c r="G70" s="32" t="n"/>
      <c r="H70" s="32" t="n"/>
      <c r="I70" s="32" t="n"/>
      <c r="J70" s="32" t="n"/>
      <c r="K70" s="32" t="n"/>
      <c r="L70" s="32" t="n"/>
      <c r="M70" s="32" t="n"/>
      <c r="N70" s="32" t="n"/>
      <c r="O70" s="32" t="n"/>
    </row>
    <row r="71">
      <c r="A71" s="32" t="n"/>
      <c r="B71" s="32" t="n"/>
      <c r="C71" s="32" t="n"/>
      <c r="D71" s="32" t="n"/>
      <c r="E71" s="32" t="n"/>
      <c r="F71" s="32" t="n"/>
      <c r="G71" s="32" t="n"/>
      <c r="H71" s="32" t="n"/>
      <c r="I71" s="32" t="n"/>
      <c r="J71" s="32" t="n"/>
      <c r="K71" s="32" t="n"/>
      <c r="L71" s="32" t="n"/>
      <c r="M71" s="32" t="n"/>
      <c r="N71" s="32" t="n"/>
      <c r="O71" s="32" t="n"/>
    </row>
    <row r="72">
      <c r="A72" s="32" t="n"/>
      <c r="B72" s="32" t="n"/>
      <c r="C72" s="32" t="n"/>
      <c r="D72" s="32" t="n"/>
      <c r="E72" s="32" t="n"/>
      <c r="F72" s="32" t="n"/>
      <c r="G72" s="32" t="n"/>
      <c r="H72" s="32" t="n"/>
      <c r="I72" s="32" t="n"/>
      <c r="J72" s="32" t="n"/>
      <c r="K72" s="32" t="n"/>
      <c r="L72" s="32" t="n"/>
      <c r="M72" s="32" t="n"/>
      <c r="N72" s="32" t="n"/>
      <c r="O72" s="32" t="n"/>
    </row>
    <row r="73">
      <c r="A73" s="32" t="n"/>
      <c r="B73" s="32" t="n"/>
      <c r="C73" s="32" t="n"/>
      <c r="D73" s="32" t="n"/>
      <c r="E73" s="32" t="n"/>
      <c r="F73" s="32" t="n"/>
      <c r="G73" s="32" t="n"/>
      <c r="H73" s="32" t="n"/>
      <c r="I73" s="32" t="n"/>
      <c r="J73" s="32" t="n"/>
      <c r="K73" s="32" t="n"/>
      <c r="L73" s="32" t="n"/>
      <c r="M73" s="32" t="n"/>
      <c r="N73" s="32" t="n"/>
      <c r="O73" s="32" t="n"/>
    </row>
    <row r="74">
      <c r="A74" s="32" t="n"/>
      <c r="B74" s="32" t="n"/>
      <c r="C74" s="32" t="n"/>
      <c r="D74" s="32" t="n"/>
      <c r="E74" s="32" t="n"/>
      <c r="F74" s="32" t="n"/>
      <c r="G74" s="32" t="n"/>
      <c r="H74" s="32" t="n"/>
      <c r="I74" s="32" t="n"/>
      <c r="J74" s="32" t="n"/>
      <c r="K74" s="32" t="n"/>
      <c r="L74" s="32" t="n"/>
      <c r="M74" s="32" t="n"/>
      <c r="N74" s="32" t="n"/>
      <c r="O74" s="32" t="n"/>
    </row>
    <row r="75">
      <c r="A75" s="32" t="n"/>
      <c r="B75" s="32" t="n"/>
      <c r="C75" s="32" t="n"/>
      <c r="D75" s="32" t="n"/>
      <c r="E75" s="32" t="n"/>
      <c r="F75" s="32" t="n"/>
      <c r="G75" s="32" t="n"/>
      <c r="H75" s="32" t="n"/>
      <c r="I75" s="32" t="n"/>
      <c r="J75" s="32" t="n"/>
      <c r="K75" s="32" t="n"/>
      <c r="L75" s="32" t="n"/>
      <c r="M75" s="32" t="n"/>
      <c r="N75" s="32" t="n"/>
      <c r="O75" s="32" t="n"/>
    </row>
    <row r="76">
      <c r="A76" s="32" t="n"/>
      <c r="B76" s="32" t="n"/>
      <c r="C76" s="32" t="n"/>
      <c r="D76" s="32" t="n"/>
      <c r="E76" s="32" t="n"/>
      <c r="F76" s="32" t="n"/>
      <c r="G76" s="32" t="n"/>
      <c r="H76" s="32" t="n"/>
      <c r="I76" s="32" t="n"/>
      <c r="J76" s="32" t="n"/>
      <c r="K76" s="32" t="n"/>
      <c r="L76" s="32" t="n"/>
      <c r="M76" s="32" t="n"/>
      <c r="N76" s="32" t="n"/>
      <c r="O76" s="32" t="n"/>
    </row>
    <row r="77">
      <c r="A77" s="32" t="n"/>
      <c r="B77" s="32" t="n"/>
      <c r="C77" s="32" t="n"/>
      <c r="D77" s="32" t="n"/>
      <c r="E77" s="32" t="n"/>
      <c r="F77" s="32" t="n"/>
      <c r="G77" s="32" t="n"/>
      <c r="H77" s="32" t="n"/>
      <c r="I77" s="32" t="n"/>
      <c r="J77" s="32" t="n"/>
      <c r="K77" s="32" t="n"/>
      <c r="L77" s="32" t="n"/>
      <c r="M77" s="32" t="n"/>
      <c r="N77" s="32" t="n"/>
      <c r="O77" s="32" t="n"/>
    </row>
    <row r="78">
      <c r="A78" s="32" t="n"/>
      <c r="B78" s="32" t="n"/>
      <c r="C78" s="32" t="n"/>
      <c r="D78" s="32" t="n"/>
      <c r="E78" s="32" t="n"/>
      <c r="F78" s="32" t="n"/>
      <c r="G78" s="32" t="n"/>
      <c r="H78" s="32" t="n"/>
      <c r="I78" s="32" t="n"/>
      <c r="J78" s="32" t="n"/>
      <c r="K78" s="32" t="n"/>
      <c r="L78" s="32" t="n"/>
      <c r="M78" s="32" t="n"/>
      <c r="N78" s="32" t="n"/>
      <c r="O78" s="32" t="n"/>
    </row>
    <row r="79">
      <c r="A79" s="32" t="n"/>
      <c r="B79" s="32" t="n"/>
      <c r="C79" s="32" t="n"/>
      <c r="D79" s="32" t="n"/>
      <c r="E79" s="32" t="n"/>
      <c r="F79" s="32" t="n"/>
      <c r="G79" s="32" t="n"/>
      <c r="H79" s="32" t="n"/>
      <c r="I79" s="32" t="n"/>
      <c r="J79" s="32" t="n"/>
      <c r="K79" s="32" t="n"/>
      <c r="L79" s="32" t="n"/>
      <c r="M79" s="32" t="n"/>
      <c r="N79" s="32" t="n"/>
      <c r="O79" s="32" t="n"/>
    </row>
    <row r="80">
      <c r="A80" s="32" t="n"/>
      <c r="B80" s="32" t="n"/>
      <c r="C80" s="32" t="n"/>
      <c r="D80" s="32" t="n"/>
      <c r="E80" s="32" t="n"/>
      <c r="F80" s="32" t="n"/>
      <c r="G80" s="32" t="n"/>
      <c r="H80" s="32" t="n"/>
      <c r="I80" s="32" t="n"/>
      <c r="J80" s="32" t="n"/>
      <c r="K80" s="32" t="n"/>
      <c r="L80" s="32" t="n"/>
      <c r="M80" s="32" t="n"/>
      <c r="N80" s="32" t="n"/>
      <c r="O80" s="32" t="n"/>
    </row>
    <row r="81">
      <c r="A81" s="32" t="n"/>
      <c r="B81" s="32" t="n"/>
      <c r="C81" s="32" t="n"/>
      <c r="D81" s="32" t="n"/>
      <c r="E81" s="32" t="n"/>
      <c r="F81" s="32" t="n"/>
      <c r="G81" s="32" t="n"/>
      <c r="H81" s="32" t="n"/>
      <c r="I81" s="32" t="n"/>
      <c r="J81" s="32" t="n"/>
      <c r="K81" s="32" t="n"/>
      <c r="L81" s="32" t="n"/>
      <c r="M81" s="32" t="n"/>
      <c r="N81" s="32" t="n"/>
      <c r="O81" s="32" t="n"/>
    </row>
    <row r="82">
      <c r="A82" s="32" t="n"/>
      <c r="B82" s="32" t="n"/>
      <c r="C82" s="32" t="n"/>
      <c r="D82" s="32" t="n"/>
      <c r="E82" s="32" t="n"/>
      <c r="F82" s="32" t="n"/>
      <c r="G82" s="32" t="n"/>
      <c r="H82" s="32" t="n"/>
      <c r="I82" s="32" t="n"/>
      <c r="J82" s="32" t="n"/>
      <c r="K82" s="32" t="n"/>
      <c r="L82" s="32" t="n"/>
      <c r="M82" s="32" t="n"/>
      <c r="N82" s="32" t="n"/>
      <c r="O82" s="32" t="n"/>
    </row>
    <row r="83">
      <c r="A83" s="32" t="n"/>
      <c r="B83" s="32" t="n"/>
      <c r="C83" s="32" t="n"/>
      <c r="D83" s="32" t="n"/>
      <c r="E83" s="32" t="n"/>
      <c r="F83" s="32" t="n"/>
      <c r="G83" s="32" t="n"/>
      <c r="H83" s="32" t="n"/>
      <c r="I83" s="32" t="n"/>
      <c r="J83" s="32" t="n"/>
      <c r="K83" s="32" t="n"/>
      <c r="L83" s="32" t="n"/>
      <c r="M83" s="32" t="n"/>
      <c r="N83" s="32" t="n"/>
      <c r="O83" s="32" t="n"/>
    </row>
    <row r="84">
      <c r="A84" s="32" t="n"/>
      <c r="B84" s="32" t="n"/>
      <c r="C84" s="32" t="n"/>
      <c r="D84" s="32" t="n"/>
      <c r="E84" s="32" t="n"/>
      <c r="F84" s="32" t="n"/>
      <c r="G84" s="32" t="n"/>
      <c r="H84" s="32" t="n"/>
      <c r="I84" s="32" t="n"/>
      <c r="J84" s="32" t="n"/>
      <c r="K84" s="32" t="n"/>
      <c r="L84" s="32" t="n"/>
      <c r="M84" s="32" t="n"/>
      <c r="N84" s="32" t="n"/>
      <c r="O84" s="32" t="n"/>
    </row>
    <row r="85">
      <c r="A85" s="32" t="n"/>
      <c r="B85" s="32" t="n"/>
      <c r="C85" s="32" t="n"/>
      <c r="D85" s="32" t="n"/>
      <c r="E85" s="32" t="n"/>
      <c r="F85" s="32" t="n"/>
      <c r="G85" s="32" t="n"/>
      <c r="H85" s="32" t="n"/>
      <c r="I85" s="32" t="n"/>
      <c r="J85" s="32" t="n"/>
      <c r="K85" s="32" t="n"/>
      <c r="L85" s="32" t="n"/>
      <c r="M85" s="32" t="n"/>
      <c r="N85" s="32" t="n"/>
      <c r="O85" s="32" t="n"/>
    </row>
    <row r="86">
      <c r="A86" s="32" t="n"/>
      <c r="B86" s="32" t="n"/>
      <c r="C86" s="32" t="n"/>
      <c r="D86" s="32" t="n"/>
      <c r="E86" s="32" t="n"/>
      <c r="F86" s="32" t="n"/>
      <c r="G86" s="32" t="n"/>
      <c r="H86" s="32" t="n"/>
      <c r="I86" s="32" t="n"/>
      <c r="J86" s="32" t="n"/>
      <c r="K86" s="32" t="n"/>
      <c r="L86" s="32" t="n"/>
      <c r="M86" s="32" t="n"/>
      <c r="N86" s="32" t="n"/>
      <c r="O86" s="32" t="n"/>
    </row>
    <row r="87">
      <c r="A87" s="32" t="n"/>
      <c r="B87" s="32" t="n"/>
      <c r="C87" s="32" t="n"/>
      <c r="D87" s="32" t="n"/>
      <c r="E87" s="32" t="n"/>
      <c r="F87" s="32" t="n"/>
      <c r="G87" s="32" t="n"/>
      <c r="H87" s="32" t="n"/>
      <c r="I87" s="32" t="n"/>
      <c r="J87" s="32" t="n"/>
      <c r="K87" s="32" t="n"/>
      <c r="L87" s="32" t="n"/>
      <c r="M87" s="32" t="n"/>
      <c r="N87" s="32" t="n"/>
      <c r="O87" s="32" t="n"/>
    </row>
    <row r="88">
      <c r="A88" s="32" t="n"/>
      <c r="B88" s="32" t="n"/>
      <c r="C88" s="32" t="n"/>
      <c r="D88" s="32" t="n"/>
      <c r="E88" s="32" t="n"/>
      <c r="F88" s="32" t="n"/>
      <c r="G88" s="32" t="n"/>
      <c r="H88" s="32" t="n"/>
      <c r="I88" s="32" t="n"/>
      <c r="J88" s="32" t="n"/>
      <c r="K88" s="32" t="n"/>
      <c r="L88" s="32" t="n"/>
      <c r="M88" s="32" t="n"/>
      <c r="N88" s="32" t="n"/>
      <c r="O88" s="32" t="n"/>
    </row>
    <row r="89">
      <c r="A89" s="32" t="n"/>
      <c r="B89" s="32" t="n"/>
      <c r="C89" s="32" t="n"/>
      <c r="D89" s="32" t="n"/>
      <c r="E89" s="32" t="n"/>
      <c r="F89" s="32" t="n"/>
      <c r="G89" s="32" t="n"/>
      <c r="H89" s="32" t="n"/>
      <c r="I89" s="32" t="n"/>
      <c r="J89" s="32" t="n"/>
      <c r="K89" s="32" t="n"/>
      <c r="L89" s="32" t="n"/>
      <c r="M89" s="32" t="n"/>
      <c r="N89" s="32" t="n"/>
      <c r="O89" s="32" t="n"/>
    </row>
    <row r="90">
      <c r="A90" s="32" t="n"/>
      <c r="B90" s="32" t="n"/>
      <c r="C90" s="32" t="n"/>
      <c r="D90" s="32" t="n"/>
      <c r="E90" s="32" t="n"/>
      <c r="F90" s="32" t="n"/>
      <c r="G90" s="32" t="n"/>
      <c r="H90" s="32" t="n"/>
      <c r="I90" s="32" t="n"/>
      <c r="J90" s="32" t="n"/>
      <c r="K90" s="32" t="n"/>
      <c r="L90" s="32" t="n"/>
      <c r="M90" s="32" t="n"/>
      <c r="N90" s="32" t="n"/>
      <c r="O90" s="32" t="n"/>
    </row>
    <row r="91">
      <c r="A91" s="32" t="n"/>
      <c r="B91" s="32" t="n"/>
      <c r="C91" s="32" t="n"/>
      <c r="D91" s="32" t="n"/>
      <c r="E91" s="32" t="n"/>
      <c r="F91" s="32" t="n"/>
      <c r="G91" s="32" t="n"/>
      <c r="H91" s="32" t="n"/>
      <c r="I91" s="32" t="n"/>
      <c r="J91" s="32" t="n"/>
      <c r="K91" s="32" t="n"/>
      <c r="L91" s="32" t="n"/>
      <c r="M91" s="32" t="n"/>
      <c r="N91" s="32" t="n"/>
      <c r="O91" s="32" t="n"/>
    </row>
    <row r="92">
      <c r="A92" s="32" t="n"/>
      <c r="B92" s="32" t="n"/>
      <c r="C92" s="32" t="n"/>
      <c r="D92" s="32" t="n"/>
      <c r="E92" s="32" t="n"/>
      <c r="F92" s="32" t="n"/>
      <c r="G92" s="32" t="n"/>
      <c r="H92" s="32" t="n"/>
      <c r="I92" s="32" t="n"/>
      <c r="J92" s="32" t="n"/>
      <c r="K92" s="32" t="n"/>
      <c r="L92" s="32" t="n"/>
      <c r="M92" s="32" t="n"/>
      <c r="N92" s="32" t="n"/>
      <c r="O92" s="32" t="n"/>
    </row>
    <row r="93">
      <c r="A93" s="32" t="n"/>
      <c r="B93" s="32" t="n"/>
      <c r="C93" s="32" t="n"/>
      <c r="D93" s="32" t="n"/>
      <c r="E93" s="32" t="n"/>
      <c r="F93" s="32" t="n"/>
      <c r="G93" s="32" t="n"/>
      <c r="H93" s="32" t="n"/>
      <c r="I93" s="32" t="n"/>
      <c r="J93" s="32" t="n"/>
      <c r="K93" s="32" t="n"/>
      <c r="L93" s="32" t="n"/>
      <c r="M93" s="32" t="n"/>
      <c r="N93" s="32" t="n"/>
      <c r="O93" s="32" t="n"/>
    </row>
    <row r="94">
      <c r="A94" s="32" t="n"/>
      <c r="B94" s="32" t="n"/>
      <c r="C94" s="32" t="n"/>
      <c r="D94" s="32" t="n"/>
      <c r="E94" s="32" t="n"/>
      <c r="F94" s="32" t="n"/>
      <c r="G94" s="32" t="n"/>
      <c r="H94" s="32" t="n"/>
      <c r="I94" s="32" t="n"/>
      <c r="J94" s="32" t="n"/>
      <c r="K94" s="32" t="n"/>
      <c r="L94" s="32" t="n"/>
      <c r="M94" s="32" t="n"/>
      <c r="N94" s="32" t="n"/>
      <c r="O94" s="32" t="n"/>
    </row>
    <row r="95">
      <c r="A95" s="32" t="n"/>
      <c r="B95" s="32" t="n"/>
      <c r="C95" s="32" t="n"/>
      <c r="D95" s="32" t="n"/>
      <c r="E95" s="32" t="n"/>
      <c r="F95" s="32" t="n"/>
      <c r="G95" s="32" t="n"/>
      <c r="H95" s="32" t="n"/>
      <c r="I95" s="32" t="n"/>
      <c r="J95" s="32" t="n"/>
      <c r="K95" s="32" t="n"/>
      <c r="L95" s="32" t="n"/>
      <c r="M95" s="32" t="n"/>
      <c r="N95" s="32" t="n"/>
      <c r="O95" s="32" t="n"/>
    </row>
    <row r="96">
      <c r="A96" s="32" t="n"/>
      <c r="B96" s="32" t="n"/>
      <c r="C96" s="32" t="n"/>
      <c r="D96" s="32" t="n"/>
      <c r="E96" s="32" t="n"/>
      <c r="F96" s="32" t="n"/>
      <c r="G96" s="32" t="n"/>
      <c r="H96" s="32" t="n"/>
      <c r="I96" s="32" t="n"/>
      <c r="J96" s="32" t="n"/>
      <c r="K96" s="32" t="n"/>
      <c r="L96" s="32" t="n"/>
      <c r="M96" s="32" t="n"/>
      <c r="N96" s="32" t="n"/>
      <c r="O96" s="32" t="n"/>
    </row>
    <row r="97">
      <c r="A97" s="32" t="n"/>
      <c r="B97" s="32" t="n"/>
      <c r="C97" s="32" t="n"/>
      <c r="D97" s="32" t="n"/>
      <c r="E97" s="32" t="n"/>
      <c r="F97" s="32" t="n"/>
      <c r="G97" s="32" t="n"/>
      <c r="H97" s="32" t="n"/>
      <c r="I97" s="32" t="n"/>
      <c r="J97" s="32" t="n"/>
      <c r="K97" s="32" t="n"/>
      <c r="L97" s="32" t="n"/>
      <c r="M97" s="32" t="n"/>
      <c r="N97" s="32" t="n"/>
      <c r="O97" s="32" t="n"/>
    </row>
    <row r="98">
      <c r="A98" s="32" t="n"/>
      <c r="B98" s="32" t="n"/>
      <c r="C98" s="32" t="n"/>
      <c r="D98" s="32" t="n"/>
      <c r="E98" s="32" t="n"/>
      <c r="F98" s="32" t="n"/>
      <c r="G98" s="32" t="n"/>
      <c r="H98" s="32" t="n"/>
      <c r="I98" s="32" t="n"/>
      <c r="J98" s="32" t="n"/>
      <c r="K98" s="32" t="n"/>
      <c r="L98" s="32" t="n"/>
      <c r="M98" s="32" t="n"/>
      <c r="N98" s="32" t="n"/>
      <c r="O98" s="32" t="n"/>
    </row>
    <row r="99">
      <c r="A99" s="32" t="n"/>
      <c r="B99" s="32" t="n"/>
      <c r="C99" s="32" t="n"/>
      <c r="D99" s="32" t="n"/>
      <c r="E99" s="32" t="n"/>
      <c r="F99" s="32" t="n"/>
      <c r="G99" s="32" t="n"/>
      <c r="H99" s="32" t="n"/>
      <c r="I99" s="32" t="n"/>
      <c r="J99" s="32" t="n"/>
      <c r="K99" s="32" t="n"/>
      <c r="L99" s="32" t="n"/>
      <c r="M99" s="32" t="n"/>
      <c r="N99" s="32" t="n"/>
      <c r="O99" s="32" t="n"/>
    </row>
    <row r="100">
      <c r="A100" s="32" t="n"/>
      <c r="B100" s="32" t="n"/>
      <c r="C100" s="32" t="n"/>
      <c r="D100" s="32" t="n"/>
      <c r="E100" s="32" t="n"/>
      <c r="F100" s="32" t="n"/>
      <c r="G100" s="32" t="n"/>
      <c r="H100" s="32" t="n"/>
      <c r="I100" s="32" t="n"/>
      <c r="J100" s="32" t="n"/>
      <c r="K100" s="32" t="n"/>
      <c r="L100" s="32" t="n"/>
      <c r="M100" s="32" t="n"/>
      <c r="N100" s="32" t="n"/>
      <c r="O100" s="32" t="n"/>
    </row>
    <row r="101">
      <c r="A101" s="32" t="n"/>
      <c r="B101" s="32" t="n"/>
      <c r="C101" s="32" t="n"/>
      <c r="D101" s="32" t="n"/>
      <c r="E101" s="32" t="n"/>
      <c r="F101" s="32" t="n"/>
      <c r="G101" s="32" t="n"/>
      <c r="H101" s="32" t="n"/>
      <c r="I101" s="32" t="n"/>
      <c r="J101" s="32" t="n"/>
      <c r="K101" s="32" t="n"/>
      <c r="L101" s="32" t="n"/>
      <c r="M101" s="32" t="n"/>
      <c r="N101" s="32" t="n"/>
      <c r="O101" s="32" t="n"/>
    </row>
    <row r="102">
      <c r="A102" s="32" t="n"/>
      <c r="B102" s="32" t="n"/>
      <c r="C102" s="32" t="n"/>
      <c r="D102" s="32" t="n"/>
      <c r="E102" s="32" t="n"/>
      <c r="F102" s="32" t="n"/>
      <c r="G102" s="32" t="n"/>
      <c r="H102" s="32" t="n"/>
      <c r="I102" s="32" t="n"/>
      <c r="J102" s="32" t="n"/>
      <c r="K102" s="32" t="n"/>
      <c r="L102" s="32" t="n"/>
      <c r="M102" s="32" t="n"/>
      <c r="N102" s="32" t="n"/>
      <c r="O102" s="32" t="n"/>
    </row>
    <row r="103">
      <c r="A103" s="32" t="n"/>
      <c r="B103" s="32" t="n"/>
      <c r="C103" s="32" t="n"/>
      <c r="D103" s="32" t="n"/>
      <c r="E103" s="32" t="n"/>
      <c r="F103" s="32" t="n"/>
      <c r="G103" s="32" t="n"/>
      <c r="H103" s="32" t="n"/>
      <c r="I103" s="32" t="n"/>
      <c r="J103" s="32" t="n"/>
      <c r="K103" s="32" t="n"/>
      <c r="L103" s="32" t="n"/>
      <c r="M103" s="32" t="n"/>
      <c r="N103" s="32" t="n"/>
      <c r="O103" s="32" t="n"/>
    </row>
    <row r="104">
      <c r="A104" s="32" t="n"/>
      <c r="B104" s="32" t="n"/>
      <c r="C104" s="32" t="n"/>
      <c r="D104" s="32" t="n"/>
      <c r="E104" s="32" t="n"/>
      <c r="F104" s="32" t="n"/>
      <c r="G104" s="32" t="n"/>
      <c r="H104" s="32" t="n"/>
      <c r="I104" s="32" t="n"/>
      <c r="J104" s="32" t="n"/>
      <c r="K104" s="32" t="n"/>
      <c r="L104" s="32" t="n"/>
      <c r="M104" s="32" t="n"/>
      <c r="N104" s="32" t="n"/>
      <c r="O104" s="32" t="n"/>
    </row>
    <row r="105">
      <c r="A105" s="32" t="n"/>
      <c r="B105" s="32" t="n"/>
      <c r="C105" s="32" t="n"/>
      <c r="D105" s="32" t="n"/>
      <c r="E105" s="32" t="n"/>
      <c r="F105" s="32" t="n"/>
      <c r="G105" s="32" t="n"/>
      <c r="H105" s="32" t="n"/>
      <c r="I105" s="32" t="n"/>
      <c r="J105" s="32" t="n"/>
      <c r="K105" s="32" t="n"/>
      <c r="L105" s="32" t="n"/>
      <c r="M105" s="32" t="n"/>
      <c r="N105" s="32" t="n"/>
      <c r="O105" s="32" t="n"/>
    </row>
    <row r="106">
      <c r="A106" s="32" t="n"/>
      <c r="B106" s="32" t="n"/>
      <c r="C106" s="32" t="n"/>
      <c r="D106" s="32" t="n"/>
      <c r="E106" s="32" t="n"/>
      <c r="F106" s="32" t="n"/>
      <c r="G106" s="32" t="n"/>
      <c r="H106" s="32" t="n"/>
      <c r="I106" s="32" t="n"/>
      <c r="J106" s="32" t="n"/>
      <c r="K106" s="32" t="n"/>
      <c r="L106" s="32" t="n"/>
      <c r="M106" s="32" t="n"/>
      <c r="N106" s="32" t="n"/>
      <c r="O106" s="32" t="n"/>
    </row>
    <row r="107">
      <c r="A107" s="32" t="n"/>
      <c r="B107" s="32" t="n"/>
      <c r="C107" s="32" t="n"/>
      <c r="D107" s="32" t="n"/>
      <c r="E107" s="32" t="n"/>
      <c r="F107" s="32" t="n"/>
      <c r="G107" s="32" t="n"/>
      <c r="H107" s="32" t="n"/>
      <c r="I107" s="32" t="n"/>
      <c r="J107" s="32" t="n"/>
      <c r="K107" s="32" t="n"/>
      <c r="L107" s="32" t="n"/>
      <c r="M107" s="32" t="n"/>
      <c r="N107" s="32" t="n"/>
      <c r="O107" s="32" t="n"/>
    </row>
    <row r="108">
      <c r="A108" s="32" t="n"/>
      <c r="B108" s="32" t="n"/>
      <c r="C108" s="32" t="n"/>
      <c r="D108" s="32" t="n"/>
      <c r="E108" s="32" t="n"/>
      <c r="F108" s="32" t="n"/>
      <c r="G108" s="32" t="n"/>
      <c r="H108" s="32" t="n"/>
      <c r="I108" s="32" t="n"/>
      <c r="J108" s="32" t="n"/>
      <c r="K108" s="32" t="n"/>
      <c r="L108" s="32" t="n"/>
      <c r="M108" s="32" t="n"/>
      <c r="N108" s="32" t="n"/>
      <c r="O108" s="32" t="n"/>
    </row>
    <row r="109">
      <c r="A109" s="32" t="n"/>
      <c r="B109" s="32" t="n"/>
      <c r="C109" s="32" t="n"/>
      <c r="D109" s="32" t="n"/>
      <c r="E109" s="32" t="n"/>
      <c r="F109" s="32" t="n"/>
      <c r="G109" s="32" t="n"/>
      <c r="H109" s="32" t="n"/>
      <c r="I109" s="32" t="n"/>
      <c r="J109" s="32" t="n"/>
      <c r="K109" s="32" t="n"/>
      <c r="L109" s="32" t="n"/>
      <c r="M109" s="32" t="n"/>
      <c r="N109" s="32" t="n"/>
      <c r="O109" s="32" t="n"/>
    </row>
    <row r="110">
      <c r="A110" s="32" t="n"/>
      <c r="B110" s="32" t="n"/>
      <c r="C110" s="32" t="n"/>
      <c r="D110" s="32" t="n"/>
      <c r="E110" s="32" t="n"/>
      <c r="F110" s="32" t="n"/>
      <c r="G110" s="32" t="n"/>
      <c r="H110" s="32" t="n"/>
      <c r="I110" s="32" t="n"/>
      <c r="J110" s="32" t="n"/>
      <c r="K110" s="32" t="n"/>
      <c r="L110" s="32" t="n"/>
      <c r="M110" s="32" t="n"/>
      <c r="N110" s="32" t="n"/>
      <c r="O110" s="32" t="n"/>
    </row>
    <row r="111">
      <c r="A111" s="32" t="n"/>
      <c r="B111" s="32" t="n"/>
      <c r="C111" s="32" t="n"/>
      <c r="D111" s="32" t="n"/>
      <c r="E111" s="32" t="n"/>
      <c r="F111" s="32" t="n"/>
      <c r="G111" s="32" t="n"/>
      <c r="H111" s="32" t="n"/>
      <c r="I111" s="32" t="n"/>
      <c r="J111" s="32" t="n"/>
      <c r="K111" s="32" t="n"/>
      <c r="L111" s="32" t="n"/>
      <c r="M111" s="32" t="n"/>
      <c r="N111" s="32" t="n"/>
      <c r="O111" s="32" t="n"/>
    </row>
    <row r="112">
      <c r="A112" s="32" t="n"/>
      <c r="B112" s="32" t="n"/>
      <c r="C112" s="32" t="n"/>
      <c r="D112" s="32" t="n"/>
      <c r="E112" s="32" t="n"/>
      <c r="F112" s="32" t="n"/>
      <c r="G112" s="32" t="n"/>
      <c r="H112" s="32" t="n"/>
      <c r="I112" s="32" t="n"/>
      <c r="J112" s="32" t="n"/>
      <c r="K112" s="32" t="n"/>
      <c r="L112" s="32" t="n"/>
      <c r="M112" s="32" t="n"/>
      <c r="N112" s="32" t="n"/>
      <c r="O112" s="32" t="n"/>
    </row>
    <row r="113">
      <c r="A113" s="32" t="n"/>
      <c r="B113" s="32" t="n"/>
      <c r="C113" s="32" t="n"/>
      <c r="D113" s="32" t="n"/>
      <c r="E113" s="32" t="n"/>
      <c r="F113" s="32" t="n"/>
      <c r="G113" s="32" t="n"/>
      <c r="H113" s="32" t="n"/>
      <c r="I113" s="32" t="n"/>
      <c r="J113" s="32" t="n"/>
      <c r="K113" s="32" t="n"/>
      <c r="L113" s="32" t="n"/>
      <c r="M113" s="32" t="n"/>
      <c r="N113" s="32" t="n"/>
      <c r="O113" s="32" t="n"/>
    </row>
    <row r="114">
      <c r="A114" s="32" t="n"/>
      <c r="B114" s="32" t="n"/>
      <c r="C114" s="32" t="n"/>
      <c r="D114" s="32" t="n"/>
      <c r="E114" s="32" t="n"/>
      <c r="F114" s="32" t="n"/>
      <c r="G114" s="32" t="n"/>
      <c r="H114" s="32" t="n"/>
      <c r="I114" s="32" t="n"/>
      <c r="J114" s="32" t="n"/>
      <c r="K114" s="32" t="n"/>
      <c r="L114" s="32" t="n"/>
      <c r="M114" s="32" t="n"/>
      <c r="N114" s="32" t="n"/>
      <c r="O114" s="32" t="n"/>
    </row>
    <row r="115">
      <c r="A115" s="32" t="n"/>
      <c r="B115" s="32" t="n"/>
      <c r="C115" s="32" t="n"/>
      <c r="D115" s="32" t="n"/>
      <c r="E115" s="32" t="n"/>
      <c r="F115" s="32" t="n"/>
      <c r="G115" s="32" t="n"/>
      <c r="H115" s="32" t="n"/>
      <c r="I115" s="32" t="n"/>
      <c r="J115" s="32" t="n"/>
      <c r="K115" s="32" t="n"/>
      <c r="L115" s="32" t="n"/>
      <c r="M115" s="32" t="n"/>
      <c r="N115" s="32" t="n"/>
      <c r="O115" s="32" t="n"/>
    </row>
    <row r="116">
      <c r="A116" s="32" t="n"/>
      <c r="B116" s="32" t="n"/>
      <c r="C116" s="32" t="n"/>
      <c r="D116" s="32" t="n"/>
      <c r="E116" s="32" t="n"/>
      <c r="F116" s="32" t="n"/>
      <c r="G116" s="32" t="n"/>
      <c r="H116" s="32" t="n"/>
      <c r="I116" s="32" t="n"/>
      <c r="J116" s="32" t="n"/>
      <c r="K116" s="32" t="n"/>
      <c r="L116" s="32" t="n"/>
      <c r="M116" s="32" t="n"/>
      <c r="N116" s="32" t="n"/>
      <c r="O116" s="32" t="n"/>
    </row>
    <row r="117">
      <c r="A117" s="32" t="n"/>
      <c r="B117" s="32" t="n"/>
      <c r="C117" s="32" t="n"/>
      <c r="D117" s="32" t="n"/>
      <c r="E117" s="32" t="n"/>
      <c r="F117" s="32" t="n"/>
      <c r="G117" s="32" t="n"/>
      <c r="H117" s="32" t="n"/>
      <c r="I117" s="32" t="n"/>
      <c r="J117" s="32" t="n"/>
      <c r="K117" s="32" t="n"/>
      <c r="L117" s="32" t="n"/>
      <c r="M117" s="32" t="n"/>
      <c r="N117" s="32" t="n"/>
      <c r="O117" s="32" t="n"/>
    </row>
    <row r="118">
      <c r="A118" s="32" t="n"/>
      <c r="B118" s="32" t="n"/>
      <c r="C118" s="32" t="n"/>
      <c r="D118" s="32" t="n"/>
      <c r="E118" s="32" t="n"/>
      <c r="F118" s="32" t="n"/>
      <c r="G118" s="32" t="n"/>
      <c r="H118" s="32" t="n"/>
      <c r="I118" s="32" t="n"/>
      <c r="J118" s="32" t="n"/>
      <c r="K118" s="32" t="n"/>
      <c r="L118" s="32" t="n"/>
      <c r="M118" s="32" t="n"/>
      <c r="N118" s="32" t="n"/>
      <c r="O118" s="32" t="n"/>
    </row>
    <row r="119">
      <c r="A119" s="32" t="n"/>
      <c r="B119" s="32" t="n"/>
      <c r="C119" s="32" t="n"/>
      <c r="D119" s="32" t="n"/>
      <c r="E119" s="32" t="n"/>
      <c r="F119" s="32" t="n"/>
      <c r="G119" s="32" t="n"/>
      <c r="H119" s="32" t="n"/>
      <c r="I119" s="32" t="n"/>
      <c r="J119" s="32" t="n"/>
      <c r="K119" s="32" t="n"/>
      <c r="L119" s="32" t="n"/>
      <c r="M119" s="32" t="n"/>
      <c r="N119" s="32" t="n"/>
      <c r="O119" s="32" t="n"/>
    </row>
    <row r="120">
      <c r="A120" s="32" t="n"/>
      <c r="B120" s="32" t="n"/>
      <c r="C120" s="32" t="n"/>
      <c r="D120" s="32" t="n"/>
      <c r="E120" s="32" t="n"/>
      <c r="F120" s="32" t="n"/>
      <c r="G120" s="32" t="n"/>
      <c r="H120" s="32" t="n"/>
      <c r="I120" s="32" t="n"/>
      <c r="J120" s="32" t="n"/>
      <c r="K120" s="32" t="n"/>
      <c r="L120" s="32" t="n"/>
      <c r="M120" s="32" t="n"/>
      <c r="N120" s="32" t="n"/>
      <c r="O120" s="32" t="n"/>
    </row>
    <row r="121">
      <c r="A121" s="32" t="n"/>
      <c r="B121" s="32" t="n"/>
      <c r="C121" s="32" t="n"/>
      <c r="D121" s="32" t="n"/>
      <c r="E121" s="32" t="n"/>
      <c r="F121" s="32" t="n"/>
      <c r="G121" s="32" t="n"/>
      <c r="H121" s="32" t="n"/>
      <c r="I121" s="32" t="n"/>
      <c r="J121" s="32" t="n"/>
      <c r="K121" s="32" t="n"/>
      <c r="L121" s="32" t="n"/>
      <c r="M121" s="32" t="n"/>
      <c r="N121" s="32" t="n"/>
      <c r="O121" s="32" t="n"/>
    </row>
    <row r="122">
      <c r="A122" s="32" t="n"/>
      <c r="B122" s="32" t="n"/>
      <c r="C122" s="32" t="n"/>
      <c r="D122" s="32" t="n"/>
      <c r="E122" s="32" t="n"/>
      <c r="F122" s="32" t="n"/>
      <c r="G122" s="32" t="n"/>
      <c r="H122" s="32" t="n"/>
      <c r="I122" s="32" t="n"/>
      <c r="J122" s="32" t="n"/>
      <c r="K122" s="32" t="n"/>
      <c r="L122" s="32" t="n"/>
      <c r="M122" s="32" t="n"/>
      <c r="N122" s="32" t="n"/>
      <c r="O122" s="32" t="n"/>
    </row>
    <row r="123">
      <c r="A123" s="32" t="n"/>
      <c r="B123" s="32" t="n"/>
      <c r="C123" s="32" t="n"/>
      <c r="D123" s="32" t="n"/>
      <c r="E123" s="32" t="n"/>
      <c r="F123" s="32" t="n"/>
      <c r="G123" s="32" t="n"/>
      <c r="H123" s="32" t="n"/>
      <c r="I123" s="32" t="n"/>
      <c r="J123" s="32" t="n"/>
      <c r="K123" s="32" t="n"/>
      <c r="L123" s="32" t="n"/>
      <c r="M123" s="32" t="n"/>
      <c r="N123" s="32" t="n"/>
      <c r="O123" s="32" t="n"/>
    </row>
    <row r="124">
      <c r="A124" s="32" t="n"/>
      <c r="B124" s="32" t="n"/>
      <c r="C124" s="32" t="n"/>
      <c r="D124" s="32" t="n"/>
      <c r="E124" s="32" t="n"/>
      <c r="F124" s="32" t="n"/>
      <c r="G124" s="32" t="n"/>
      <c r="H124" s="32" t="n"/>
      <c r="I124" s="32" t="n"/>
      <c r="J124" s="32" t="n"/>
      <c r="K124" s="32" t="n"/>
      <c r="L124" s="32" t="n"/>
      <c r="M124" s="32" t="n"/>
      <c r="N124" s="32" t="n"/>
      <c r="O124" s="32" t="n"/>
    </row>
    <row r="125">
      <c r="A125" s="32" t="n"/>
      <c r="B125" s="32" t="n"/>
      <c r="C125" s="32" t="n"/>
      <c r="D125" s="32" t="n"/>
      <c r="E125" s="32" t="n"/>
      <c r="F125" s="32" t="n"/>
      <c r="G125" s="32" t="n"/>
      <c r="H125" s="32" t="n"/>
      <c r="I125" s="32" t="n"/>
      <c r="J125" s="32" t="n"/>
      <c r="K125" s="32" t="n"/>
      <c r="L125" s="32" t="n"/>
      <c r="M125" s="32" t="n"/>
      <c r="N125" s="32" t="n"/>
      <c r="O125" s="32" t="n"/>
    </row>
    <row r="126">
      <c r="A126" s="32" t="n"/>
      <c r="B126" s="32" t="n"/>
      <c r="C126" s="32" t="n"/>
      <c r="D126" s="32" t="n"/>
      <c r="E126" s="32" t="n"/>
      <c r="F126" s="32" t="n"/>
      <c r="G126" s="32" t="n"/>
      <c r="H126" s="32" t="n"/>
      <c r="I126" s="32" t="n"/>
      <c r="J126" s="32" t="n"/>
      <c r="K126" s="32" t="n"/>
      <c r="L126" s="32" t="n"/>
      <c r="M126" s="32" t="n"/>
      <c r="N126" s="32" t="n"/>
      <c r="O126" s="32" t="n"/>
    </row>
    <row r="127">
      <c r="A127" s="32" t="n"/>
      <c r="B127" s="32" t="n"/>
      <c r="C127" s="32" t="n"/>
      <c r="D127" s="32" t="n"/>
      <c r="E127" s="32" t="n"/>
      <c r="F127" s="32" t="n"/>
      <c r="G127" s="32" t="n"/>
      <c r="H127" s="32" t="n"/>
      <c r="I127" s="32" t="n"/>
      <c r="J127" s="32" t="n"/>
      <c r="K127" s="32" t="n"/>
      <c r="L127" s="32" t="n"/>
      <c r="M127" s="32" t="n"/>
      <c r="N127" s="32" t="n"/>
      <c r="O127" s="32" t="n"/>
    </row>
    <row r="128">
      <c r="A128" s="32" t="n"/>
      <c r="B128" s="32" t="n"/>
      <c r="C128" s="32" t="n"/>
      <c r="D128" s="32" t="n"/>
      <c r="E128" s="32" t="n"/>
      <c r="F128" s="32" t="n"/>
      <c r="G128" s="32" t="n"/>
      <c r="H128" s="32" t="n"/>
      <c r="I128" s="32" t="n"/>
      <c r="J128" s="32" t="n"/>
      <c r="K128" s="32" t="n"/>
      <c r="L128" s="32" t="n"/>
      <c r="M128" s="32" t="n"/>
      <c r="N128" s="32" t="n"/>
      <c r="O128" s="32" t="n"/>
    </row>
    <row r="129">
      <c r="A129" s="32" t="n"/>
      <c r="B129" s="32" t="n"/>
      <c r="C129" s="32" t="n"/>
      <c r="D129" s="32" t="n"/>
      <c r="E129" s="32" t="n"/>
      <c r="F129" s="32" t="n"/>
      <c r="G129" s="32" t="n"/>
      <c r="H129" s="32" t="n"/>
      <c r="I129" s="32" t="n"/>
      <c r="J129" s="32" t="n"/>
      <c r="K129" s="32" t="n"/>
      <c r="L129" s="32" t="n"/>
      <c r="M129" s="32" t="n"/>
      <c r="N129" s="32" t="n"/>
      <c r="O129" s="32" t="n"/>
    </row>
    <row r="130">
      <c r="A130" s="32" t="n"/>
      <c r="B130" s="32" t="n"/>
      <c r="C130" s="32" t="n"/>
      <c r="D130" s="32" t="n"/>
      <c r="E130" s="32" t="n"/>
      <c r="F130" s="32" t="n"/>
      <c r="G130" s="32" t="n"/>
      <c r="H130" s="32" t="n"/>
      <c r="I130" s="32" t="n"/>
      <c r="J130" s="32" t="n"/>
      <c r="K130" s="32" t="n"/>
      <c r="L130" s="32" t="n"/>
      <c r="M130" s="32" t="n"/>
      <c r="N130" s="32" t="n"/>
      <c r="O130" s="32" t="n"/>
    </row>
    <row r="131">
      <c r="A131" s="32" t="n"/>
      <c r="B131" s="32" t="n"/>
      <c r="C131" s="32" t="n"/>
      <c r="D131" s="32" t="n"/>
      <c r="E131" s="32" t="n"/>
      <c r="F131" s="32" t="n"/>
      <c r="G131" s="32" t="n"/>
      <c r="H131" s="32" t="n"/>
      <c r="I131" s="32" t="n"/>
      <c r="J131" s="32" t="n"/>
      <c r="K131" s="32" t="n"/>
      <c r="L131" s="32" t="n"/>
      <c r="M131" s="32" t="n"/>
      <c r="N131" s="32" t="n"/>
      <c r="O131" s="32" t="n"/>
    </row>
    <row r="132">
      <c r="A132" s="32" t="n"/>
      <c r="B132" s="32" t="n"/>
      <c r="C132" s="32" t="n"/>
      <c r="D132" s="32" t="n"/>
      <c r="E132" s="32" t="n"/>
      <c r="F132" s="32" t="n"/>
      <c r="G132" s="32" t="n"/>
      <c r="H132" s="32" t="n"/>
      <c r="I132" s="32" t="n"/>
      <c r="J132" s="32" t="n"/>
      <c r="K132" s="32" t="n"/>
      <c r="L132" s="32" t="n"/>
      <c r="M132" s="32" t="n"/>
      <c r="N132" s="32" t="n"/>
      <c r="O132" s="32" t="n"/>
    </row>
    <row r="133">
      <c r="A133" s="32" t="n"/>
      <c r="B133" s="32" t="n"/>
      <c r="C133" s="32" t="n"/>
      <c r="D133" s="32" t="n"/>
      <c r="E133" s="32" t="n"/>
      <c r="F133" s="32" t="n"/>
      <c r="G133" s="32" t="n"/>
      <c r="H133" s="32" t="n"/>
      <c r="I133" s="32" t="n"/>
      <c r="J133" s="32" t="n"/>
      <c r="K133" s="32" t="n"/>
      <c r="L133" s="32" t="n"/>
      <c r="M133" s="32" t="n"/>
      <c r="N133" s="32" t="n"/>
      <c r="O133" s="32" t="n"/>
    </row>
    <row r="134">
      <c r="A134" s="32" t="n"/>
      <c r="B134" s="32" t="n"/>
      <c r="C134" s="32" t="n"/>
      <c r="D134" s="32" t="n"/>
      <c r="E134" s="32" t="n"/>
      <c r="F134" s="32" t="n"/>
      <c r="G134" s="32" t="n"/>
      <c r="H134" s="32" t="n"/>
      <c r="I134" s="32" t="n"/>
      <c r="J134" s="32" t="n"/>
      <c r="K134" s="32" t="n"/>
      <c r="L134" s="32" t="n"/>
      <c r="M134" s="32" t="n"/>
      <c r="N134" s="32" t="n"/>
      <c r="O134" s="32" t="n"/>
    </row>
    <row r="135">
      <c r="A135" s="32" t="n"/>
      <c r="B135" s="32" t="n"/>
      <c r="C135" s="32" t="n"/>
      <c r="D135" s="32" t="n"/>
      <c r="E135" s="32" t="n"/>
      <c r="F135" s="32" t="n"/>
      <c r="G135" s="32" t="n"/>
      <c r="H135" s="32" t="n"/>
      <c r="I135" s="32" t="n"/>
      <c r="J135" s="32" t="n"/>
      <c r="K135" s="32" t="n"/>
      <c r="L135" s="32" t="n"/>
      <c r="M135" s="32" t="n"/>
      <c r="N135" s="32" t="n"/>
      <c r="O135" s="32" t="n"/>
    </row>
    <row r="136">
      <c r="A136" s="32" t="n"/>
      <c r="B136" s="32" t="n"/>
      <c r="C136" s="32" t="n"/>
      <c r="D136" s="32" t="n"/>
      <c r="E136" s="32" t="n"/>
      <c r="F136" s="32" t="n"/>
      <c r="G136" s="32" t="n"/>
      <c r="H136" s="32" t="n"/>
      <c r="I136" s="32" t="n"/>
      <c r="J136" s="32" t="n"/>
      <c r="K136" s="32" t="n"/>
      <c r="L136" s="32" t="n"/>
      <c r="M136" s="32" t="n"/>
      <c r="N136" s="32" t="n"/>
      <c r="O136" s="32" t="n"/>
    </row>
    <row r="137">
      <c r="A137" s="32" t="n"/>
      <c r="B137" s="32" t="n"/>
      <c r="C137" s="32" t="n"/>
      <c r="D137" s="32" t="n"/>
      <c r="E137" s="32" t="n"/>
      <c r="F137" s="32" t="n"/>
      <c r="G137" s="32" t="n"/>
      <c r="H137" s="32" t="n"/>
      <c r="I137" s="32" t="n"/>
      <c r="J137" s="32" t="n"/>
      <c r="K137" s="32" t="n"/>
      <c r="L137" s="32" t="n"/>
      <c r="M137" s="32" t="n"/>
      <c r="N137" s="32" t="n"/>
      <c r="O137" s="32" t="n"/>
    </row>
    <row r="138">
      <c r="A138" s="32" t="n"/>
      <c r="B138" s="32" t="n"/>
      <c r="C138" s="32" t="n"/>
      <c r="D138" s="32" t="n"/>
      <c r="E138" s="32" t="n"/>
      <c r="F138" s="32" t="n"/>
      <c r="G138" s="32" t="n"/>
      <c r="H138" s="32" t="n"/>
      <c r="I138" s="32" t="n"/>
      <c r="J138" s="32" t="n"/>
      <c r="K138" s="32" t="n"/>
      <c r="L138" s="32" t="n"/>
      <c r="M138" s="32" t="n"/>
      <c r="N138" s="32" t="n"/>
      <c r="O138" s="32" t="n"/>
    </row>
    <row r="139">
      <c r="A139" s="32" t="n"/>
      <c r="B139" s="32" t="n"/>
      <c r="C139" s="32" t="n"/>
      <c r="D139" s="32" t="n"/>
      <c r="E139" s="32" t="n"/>
      <c r="F139" s="32" t="n"/>
      <c r="G139" s="32" t="n"/>
      <c r="H139" s="32" t="n"/>
      <c r="I139" s="32" t="n"/>
      <c r="J139" s="32" t="n"/>
      <c r="K139" s="32" t="n"/>
      <c r="L139" s="32" t="n"/>
      <c r="M139" s="32" t="n"/>
      <c r="N139" s="32" t="n"/>
      <c r="O139" s="32" t="n"/>
    </row>
    <row r="140">
      <c r="A140" s="32" t="n"/>
      <c r="B140" s="32" t="n"/>
      <c r="C140" s="32" t="n"/>
      <c r="D140" s="32" t="n"/>
      <c r="E140" s="32" t="n"/>
      <c r="F140" s="32" t="n"/>
      <c r="G140" s="32" t="n"/>
      <c r="H140" s="32" t="n"/>
      <c r="I140" s="32" t="n"/>
      <c r="J140" s="32" t="n"/>
      <c r="K140" s="32" t="n"/>
      <c r="L140" s="32" t="n"/>
      <c r="M140" s="32" t="n"/>
      <c r="N140" s="32" t="n"/>
      <c r="O140" s="32" t="n"/>
    </row>
    <row r="141">
      <c r="A141" s="32" t="n"/>
      <c r="B141" s="32" t="n"/>
      <c r="C141" s="32" t="n"/>
      <c r="D141" s="32" t="n"/>
      <c r="E141" s="32" t="n"/>
      <c r="F141" s="32" t="n"/>
      <c r="G141" s="32" t="n"/>
      <c r="H141" s="32" t="n"/>
      <c r="I141" s="32" t="n"/>
      <c r="J141" s="32" t="n"/>
      <c r="K141" s="32" t="n"/>
      <c r="L141" s="32" t="n"/>
      <c r="M141" s="32" t="n"/>
      <c r="N141" s="32" t="n"/>
      <c r="O141" s="32" t="n"/>
    </row>
    <row r="142">
      <c r="A142" s="32" t="n"/>
      <c r="B142" s="32" t="n"/>
      <c r="C142" s="32" t="n"/>
      <c r="D142" s="32" t="n"/>
      <c r="E142" s="32" t="n"/>
      <c r="F142" s="32" t="n"/>
      <c r="G142" s="32" t="n"/>
      <c r="H142" s="32" t="n"/>
      <c r="I142" s="32" t="n"/>
      <c r="J142" s="32" t="n"/>
      <c r="K142" s="32" t="n"/>
      <c r="L142" s="32" t="n"/>
      <c r="M142" s="32" t="n"/>
      <c r="N142" s="32" t="n"/>
      <c r="O142" s="32" t="n"/>
    </row>
    <row r="143">
      <c r="A143" s="32" t="n"/>
      <c r="B143" s="32" t="n"/>
      <c r="C143" s="32" t="n"/>
      <c r="D143" s="32" t="n"/>
      <c r="E143" s="32" t="n"/>
      <c r="F143" s="32" t="n"/>
      <c r="G143" s="32" t="n"/>
      <c r="H143" s="32" t="n"/>
      <c r="I143" s="32" t="n"/>
      <c r="J143" s="32" t="n"/>
      <c r="K143" s="32" t="n"/>
      <c r="L143" s="32" t="n"/>
      <c r="M143" s="32" t="n"/>
      <c r="N143" s="32" t="n"/>
      <c r="O143" s="32" t="n"/>
    </row>
    <row r="144">
      <c r="A144" s="32" t="n"/>
      <c r="B144" s="32" t="n"/>
      <c r="C144" s="32" t="n"/>
      <c r="D144" s="32" t="n"/>
      <c r="E144" s="32" t="n"/>
      <c r="F144" s="32" t="n"/>
      <c r="G144" s="32" t="n"/>
      <c r="H144" s="32" t="n"/>
      <c r="I144" s="32" t="n"/>
      <c r="J144" s="32" t="n"/>
      <c r="K144" s="32" t="n"/>
      <c r="L144" s="32" t="n"/>
      <c r="M144" s="32" t="n"/>
      <c r="N144" s="32" t="n"/>
      <c r="O144" s="32" t="n"/>
    </row>
    <row r="145">
      <c r="A145" s="32" t="n"/>
      <c r="B145" s="32" t="n"/>
      <c r="C145" s="32" t="n"/>
      <c r="D145" s="32" t="n"/>
      <c r="E145" s="32" t="n"/>
      <c r="F145" s="32" t="n"/>
      <c r="G145" s="32" t="n"/>
      <c r="H145" s="32" t="n"/>
      <c r="I145" s="32" t="n"/>
      <c r="J145" s="32" t="n"/>
      <c r="K145" s="32" t="n"/>
      <c r="L145" s="32" t="n"/>
      <c r="M145" s="32" t="n"/>
      <c r="N145" s="32" t="n"/>
      <c r="O145" s="32" t="n"/>
    </row>
    <row r="146">
      <c r="A146" s="32" t="n"/>
      <c r="B146" s="32" t="n"/>
      <c r="C146" s="32" t="n"/>
      <c r="D146" s="32" t="n"/>
      <c r="E146" s="32" t="n"/>
      <c r="F146" s="32" t="n"/>
      <c r="G146" s="32" t="n"/>
      <c r="H146" s="32" t="n"/>
      <c r="I146" s="32" t="n"/>
      <c r="J146" s="32" t="n"/>
      <c r="K146" s="32" t="n"/>
      <c r="L146" s="32" t="n"/>
      <c r="M146" s="32" t="n"/>
      <c r="N146" s="32" t="n"/>
      <c r="O146" s="32" t="n"/>
    </row>
    <row r="147">
      <c r="A147" s="32" t="n"/>
      <c r="B147" s="32" t="n"/>
      <c r="C147" s="32" t="n"/>
      <c r="D147" s="32" t="n"/>
      <c r="E147" s="32" t="n"/>
      <c r="F147" s="32" t="n"/>
      <c r="G147" s="32" t="n"/>
      <c r="H147" s="32" t="n"/>
      <c r="I147" s="32" t="n"/>
      <c r="J147" s="32" t="n"/>
      <c r="K147" s="32" t="n"/>
      <c r="L147" s="32" t="n"/>
      <c r="M147" s="32" t="n"/>
      <c r="N147" s="32" t="n"/>
      <c r="O147" s="32" t="n"/>
    </row>
    <row r="148">
      <c r="A148" s="32" t="n"/>
      <c r="B148" s="32" t="n"/>
      <c r="C148" s="32" t="n"/>
      <c r="D148" s="32" t="n"/>
      <c r="E148" s="32" t="n"/>
      <c r="F148" s="32" t="n"/>
      <c r="G148" s="32" t="n"/>
      <c r="H148" s="32" t="n"/>
      <c r="I148" s="32" t="n"/>
      <c r="J148" s="32" t="n"/>
      <c r="K148" s="32" t="n"/>
      <c r="L148" s="32" t="n"/>
      <c r="M148" s="32" t="n"/>
      <c r="N148" s="32" t="n"/>
      <c r="O148" s="32" t="n"/>
    </row>
    <row r="149">
      <c r="A149" s="32" t="n"/>
      <c r="B149" s="32" t="n"/>
      <c r="C149" s="32" t="n"/>
      <c r="D149" s="32" t="n"/>
      <c r="E149" s="32" t="n"/>
      <c r="F149" s="32" t="n"/>
      <c r="G149" s="32" t="n"/>
      <c r="H149" s="32" t="n"/>
      <c r="I149" s="32" t="n"/>
      <c r="J149" s="32" t="n"/>
      <c r="K149" s="32" t="n"/>
      <c r="L149" s="32" t="n"/>
      <c r="M149" s="32" t="n"/>
      <c r="N149" s="32" t="n"/>
      <c r="O149" s="32" t="n"/>
    </row>
    <row r="150">
      <c r="A150" s="32" t="n"/>
      <c r="B150" s="32" t="n"/>
      <c r="C150" s="32" t="n"/>
      <c r="D150" s="32" t="n"/>
      <c r="E150" s="32" t="n"/>
      <c r="F150" s="32" t="n"/>
      <c r="G150" s="32" t="n"/>
      <c r="H150" s="32" t="n"/>
      <c r="I150" s="32" t="n"/>
      <c r="J150" s="32" t="n"/>
      <c r="K150" s="32" t="n"/>
      <c r="L150" s="32" t="n"/>
      <c r="M150" s="32" t="n"/>
      <c r="N150" s="32" t="n"/>
      <c r="O150" s="32" t="n"/>
    </row>
    <row r="151">
      <c r="A151" s="32" t="n"/>
      <c r="B151" s="32" t="n"/>
      <c r="C151" s="32" t="n"/>
      <c r="D151" s="32" t="n"/>
      <c r="E151" s="32" t="n"/>
      <c r="F151" s="32" t="n"/>
      <c r="G151" s="32" t="n"/>
      <c r="H151" s="32" t="n"/>
      <c r="I151" s="32" t="n"/>
      <c r="J151" s="32" t="n"/>
      <c r="K151" s="32" t="n"/>
      <c r="L151" s="32" t="n"/>
      <c r="M151" s="32" t="n"/>
      <c r="N151" s="32" t="n"/>
      <c r="O151" s="32" t="n"/>
    </row>
    <row r="152">
      <c r="A152" s="32" t="n"/>
      <c r="B152" s="32" t="n"/>
      <c r="C152" s="32" t="n"/>
      <c r="D152" s="32" t="n"/>
      <c r="E152" s="32" t="n"/>
      <c r="F152" s="32" t="n"/>
      <c r="G152" s="32" t="n"/>
      <c r="H152" s="32" t="n"/>
      <c r="I152" s="32" t="n"/>
      <c r="J152" s="32" t="n"/>
      <c r="K152" s="32" t="n"/>
      <c r="L152" s="32" t="n"/>
      <c r="M152" s="32" t="n"/>
      <c r="N152" s="32" t="n"/>
      <c r="O152" s="32" t="n"/>
    </row>
    <row r="153">
      <c r="A153" s="32" t="n"/>
      <c r="B153" s="32" t="n"/>
      <c r="C153" s="32" t="n"/>
      <c r="D153" s="32" t="n"/>
      <c r="E153" s="32" t="n"/>
      <c r="F153" s="32" t="n"/>
      <c r="G153" s="32" t="n"/>
      <c r="H153" s="32" t="n"/>
      <c r="I153" s="32" t="n"/>
      <c r="J153" s="32" t="n"/>
      <c r="K153" s="32" t="n"/>
      <c r="L153" s="32" t="n"/>
      <c r="M153" s="32" t="n"/>
      <c r="N153" s="32" t="n"/>
      <c r="O153" s="32" t="n"/>
    </row>
    <row r="154">
      <c r="A154" s="32" t="n"/>
      <c r="B154" s="32" t="n"/>
      <c r="C154" s="32" t="n"/>
      <c r="D154" s="32" t="n"/>
      <c r="E154" s="32" t="n"/>
      <c r="F154" s="32" t="n"/>
      <c r="G154" s="32" t="n"/>
      <c r="H154" s="32" t="n"/>
      <c r="I154" s="32" t="n"/>
      <c r="J154" s="32" t="n"/>
      <c r="K154" s="32" t="n"/>
      <c r="L154" s="32" t="n"/>
      <c r="M154" s="32" t="n"/>
      <c r="N154" s="32" t="n"/>
      <c r="O154" s="32" t="n"/>
    </row>
    <row r="155">
      <c r="A155" s="32" t="n"/>
      <c r="B155" s="32" t="n"/>
      <c r="C155" s="32" t="n"/>
      <c r="D155" s="32" t="n"/>
      <c r="E155" s="32" t="n"/>
      <c r="F155" s="32" t="n"/>
      <c r="G155" s="32" t="n"/>
      <c r="H155" s="32" t="n"/>
      <c r="I155" s="32" t="n"/>
      <c r="J155" s="32" t="n"/>
      <c r="K155" s="32" t="n"/>
      <c r="L155" s="32" t="n"/>
      <c r="M155" s="32" t="n"/>
      <c r="N155" s="32" t="n"/>
      <c r="O155" s="32" t="n"/>
    </row>
    <row r="156">
      <c r="A156" s="32" t="n"/>
      <c r="B156" s="32" t="n"/>
      <c r="C156" s="32" t="n"/>
      <c r="D156" s="32" t="n"/>
      <c r="E156" s="32" t="n"/>
      <c r="F156" s="32" t="n"/>
      <c r="G156" s="32" t="n"/>
      <c r="H156" s="32" t="n"/>
      <c r="I156" s="32" t="n"/>
      <c r="J156" s="32" t="n"/>
      <c r="K156" s="32" t="n"/>
      <c r="L156" s="32" t="n"/>
      <c r="M156" s="32" t="n"/>
      <c r="N156" s="32" t="n"/>
      <c r="O156" s="32" t="n"/>
    </row>
    <row r="157">
      <c r="A157" s="32" t="n"/>
      <c r="B157" s="32" t="n"/>
      <c r="C157" s="32" t="n"/>
      <c r="D157" s="32" t="n"/>
      <c r="E157" s="32" t="n"/>
      <c r="F157" s="32" t="n"/>
      <c r="G157" s="32" t="n"/>
      <c r="H157" s="32" t="n"/>
      <c r="I157" s="32" t="n"/>
      <c r="J157" s="32" t="n"/>
      <c r="K157" s="32" t="n"/>
      <c r="L157" s="32" t="n"/>
      <c r="M157" s="32" t="n"/>
      <c r="N157" s="32" t="n"/>
      <c r="O157" s="32" t="n"/>
    </row>
    <row r="158">
      <c r="A158" s="32" t="n"/>
      <c r="B158" s="32" t="n"/>
      <c r="C158" s="32" t="n"/>
      <c r="D158" s="32" t="n"/>
      <c r="E158" s="32" t="n"/>
      <c r="F158" s="32" t="n"/>
      <c r="G158" s="32" t="n"/>
      <c r="H158" s="32" t="n"/>
      <c r="I158" s="32" t="n"/>
      <c r="J158" s="32" t="n"/>
      <c r="K158" s="32" t="n"/>
      <c r="L158" s="32" t="n"/>
      <c r="M158" s="32" t="n"/>
      <c r="N158" s="32" t="n"/>
      <c r="O158" s="32" t="n"/>
    </row>
    <row r="159">
      <c r="A159" s="32" t="n"/>
      <c r="B159" s="32" t="n"/>
      <c r="C159" s="32" t="n"/>
      <c r="D159" s="32" t="n"/>
      <c r="E159" s="32" t="n"/>
      <c r="F159" s="32" t="n"/>
      <c r="G159" s="32" t="n"/>
      <c r="H159" s="32" t="n"/>
      <c r="I159" s="32" t="n"/>
      <c r="J159" s="32" t="n"/>
      <c r="K159" s="32" t="n"/>
      <c r="L159" s="32" t="n"/>
      <c r="M159" s="32" t="n"/>
      <c r="N159" s="32" t="n"/>
      <c r="O159" s="32" t="n"/>
    </row>
    <row r="160">
      <c r="A160" s="32" t="n"/>
      <c r="B160" s="32" t="n"/>
      <c r="C160" s="32" t="n"/>
      <c r="D160" s="32" t="n"/>
      <c r="E160" s="32" t="n"/>
      <c r="F160" s="32" t="n"/>
      <c r="G160" s="32" t="n"/>
      <c r="H160" s="32" t="n"/>
      <c r="I160" s="32" t="n"/>
      <c r="J160" s="32" t="n"/>
      <c r="K160" s="32" t="n"/>
      <c r="L160" s="32" t="n"/>
      <c r="M160" s="32" t="n"/>
      <c r="N160" s="32" t="n"/>
      <c r="O160" s="32" t="n"/>
    </row>
  </sheetData>
  <mergeCells count="2">
    <mergeCell ref="A1:O1"/>
    <mergeCell ref="A2:O2"/>
  </mergeCells>
  <conditionalFormatting sqref="G5:G160">
    <cfRule type="expression" priority="1" dxfId="0">
      <formula>G5="PASS"</formula>
    </cfRule>
    <cfRule type="expression" priority="2" dxfId="1">
      <formula>G5="FAIL"</formula>
    </cfRule>
    <cfRule type="expression" priority="3" dxfId="2">
      <formula>G5="RETEST REQUIRED"</formula>
    </cfRule>
    <cfRule type="expression" priority="4" dxfId="3">
      <formula>G5="BLOCKED"</formula>
    </cfRule>
    <cfRule type="expression" priority="5" dxfId="4">
      <formula>G5="PENDING"</formula>
    </cfRule>
  </conditionalFormatting>
  <conditionalFormatting sqref="K5:K160">
    <cfRule type="expression" priority="6" dxfId="5">
      <formula>K5="Critical"</formula>
    </cfRule>
    <cfRule type="expression" priority="7" dxfId="3">
      <formula>K5="High"</formula>
    </cfRule>
    <cfRule type="expression" priority="8" dxfId="2">
      <formula>K5="Medium"</formula>
    </cfRule>
  </conditionalFormatting>
  <dataValidations count="4">
    <dataValidation sqref="G5:G160" showDropDown="0" showInputMessage="0" showErrorMessage="0" allowBlank="0" type="list">
      <formula1>"PENDING,PASS,FAIL,N/A,RETEST REQUIRED,BLOCKED"</formula1>
    </dataValidation>
    <dataValidation sqref="K5:K160" showDropDown="0" showInputMessage="0" showErrorMessage="0" allowBlank="0" type="list">
      <formula1>"Low,Medium,High,Critical"</formula1>
    </dataValidation>
    <dataValidation sqref="L5:L160" showDropDown="0" showInputMessage="0" showErrorMessage="0" allowBlank="0" type="list">
      <formula1>"Hardik,Manus,ChatGPT,Hardware,Home Assistant,LocalTuya,Firmware,Other"</formula1>
    </dataValidation>
    <dataValidation sqref="M5:N160" showDropDown="0" showInputMessage="0" showErrorMessage="0" allowBlank="0" type="list">
      <formula1>"Yes,No,N/A"</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120"/>
  <sheetViews>
    <sheetView workbookViewId="0">
      <pane ySplit="4" topLeftCell="A5" activePane="bottomLeft" state="frozen"/>
      <selection pane="bottomLeft" activeCell="A1" sqref="A1"/>
    </sheetView>
  </sheetViews>
  <sheetFormatPr baseColWidth="8" defaultRowHeight="15"/>
  <cols>
    <col width="13" customWidth="1" min="1" max="1"/>
    <col width="27" customWidth="1" min="2" max="2"/>
    <col width="15" customWidth="1" min="3" max="3"/>
    <col width="11" customWidth="1" min="4" max="4"/>
    <col width="20" customWidth="1" min="5" max="5"/>
    <col width="35" customWidth="1" min="6" max="6"/>
    <col width="9" customWidth="1" min="7" max="7"/>
    <col width="13" customWidth="1" min="8" max="8"/>
    <col width="8" customWidth="1" min="9" max="9"/>
    <col width="8" customWidth="1" min="10" max="10"/>
  </cols>
  <sheetData>
    <row r="1" ht="28" customHeight="1">
      <c r="A1" s="50" t="inlineStr">
        <is>
          <t>Evidence Log</t>
        </is>
      </c>
      <c r="B1" s="51" t="n"/>
      <c r="C1" s="51" t="n"/>
      <c r="D1" s="51" t="n"/>
      <c r="E1" s="51" t="n"/>
      <c r="F1" s="51" t="n"/>
      <c r="G1" s="51" t="n"/>
      <c r="H1" s="51" t="n"/>
      <c r="I1" s="51" t="n"/>
      <c r="J1" s="51" t="n"/>
    </row>
    <row r="2" ht="36" customHeight="1">
      <c r="A2" s="52" t="inlineStr">
        <is>
          <t>Record photos/videos/screenshots/logs for PASS/FAIL support. Evidence is required for final PASS.</t>
        </is>
      </c>
      <c r="B2" s="53" t="n"/>
      <c r="C2" s="53" t="n"/>
      <c r="D2" s="53" t="n"/>
      <c r="E2" s="53" t="n"/>
      <c r="F2" s="53" t="n"/>
      <c r="G2" s="53" t="n"/>
      <c r="H2" s="53" t="n"/>
      <c r="I2" s="53" t="n"/>
      <c r="J2" s="53" t="n"/>
    </row>
    <row r="4" ht="36" customHeight="1">
      <c r="A4" s="42" t="inlineStr">
        <is>
          <t>Evidence ID</t>
        </is>
      </c>
      <c r="B4" s="42" t="inlineStr">
        <is>
          <t>Stage/Test</t>
        </is>
      </c>
      <c r="C4" s="42" t="inlineStr">
        <is>
          <t>Evidence Type</t>
        </is>
      </c>
      <c r="D4" s="42" t="inlineStr">
        <is>
          <t>Required?</t>
        </is>
      </c>
      <c r="E4" s="42" t="inlineStr">
        <is>
          <t>File/Link/Location</t>
        </is>
      </c>
      <c r="F4" s="42" t="inlineStr">
        <is>
          <t>What it proves</t>
        </is>
      </c>
      <c r="G4" s="42" t="inlineStr">
        <is>
          <t>Status</t>
        </is>
      </c>
      <c r="H4" s="42" t="inlineStr">
        <is>
          <t>Captured By</t>
        </is>
      </c>
      <c r="I4" s="42" t="inlineStr">
        <is>
          <t>Date</t>
        </is>
      </c>
      <c r="J4" s="42" t="inlineStr">
        <is>
          <t>Notes</t>
        </is>
      </c>
    </row>
    <row r="5">
      <c r="A5" s="54" t="inlineStr">
        <is>
          <t>EV-001</t>
        </is>
      </c>
      <c r="B5" s="44" t="inlineStr">
        <is>
          <t>HA dashboard</t>
        </is>
      </c>
      <c r="C5" s="44" t="inlineStr">
        <is>
          <t>Screenshot</t>
        </is>
      </c>
      <c r="D5" s="44" t="inlineStr">
        <is>
          <t>Yes</t>
        </is>
      </c>
      <c r="E5" s="44" t="str"/>
      <c r="F5" s="44" t="inlineStr">
        <is>
          <t>HA loads and is usable</t>
        </is>
      </c>
      <c r="G5" s="55" t="inlineStr">
        <is>
          <t>PENDING</t>
        </is>
      </c>
      <c r="H5" s="44" t="inlineStr">
        <is>
          <t>Hardik</t>
        </is>
      </c>
      <c r="I5" s="44" t="str"/>
      <c r="J5" s="44" t="str"/>
    </row>
    <row r="6">
      <c r="A6" s="57" t="inlineStr">
        <is>
          <t>EV-002</t>
        </is>
      </c>
      <c r="B6" s="43" t="inlineStr">
        <is>
          <t>ESPHome devices online</t>
        </is>
      </c>
      <c r="C6" s="43" t="inlineStr">
        <is>
          <t>Screenshot</t>
        </is>
      </c>
      <c r="D6" s="43" t="inlineStr">
        <is>
          <t>Yes</t>
        </is>
      </c>
      <c r="E6" s="43" t="str"/>
      <c r="F6" s="43" t="inlineStr">
        <is>
          <t>Door and bedside online</t>
        </is>
      </c>
      <c r="G6" s="55" t="inlineStr">
        <is>
          <t>PENDING</t>
        </is>
      </c>
      <c r="H6" s="43" t="inlineStr">
        <is>
          <t>Hardik</t>
        </is>
      </c>
      <c r="I6" s="43" t="str"/>
      <c r="J6" s="43" t="str"/>
    </row>
    <row r="7">
      <c r="A7" s="54" t="inlineStr">
        <is>
          <t>EV-003</t>
        </is>
      </c>
      <c r="B7" s="44" t="inlineStr">
        <is>
          <t>light.bedroom_group</t>
        </is>
      </c>
      <c r="C7" s="44" t="inlineStr">
        <is>
          <t>Screenshot</t>
        </is>
      </c>
      <c r="D7" s="44" t="inlineStr">
        <is>
          <t>Yes</t>
        </is>
      </c>
      <c r="E7" s="44" t="str"/>
      <c r="F7" s="44" t="inlineStr">
        <is>
          <t>Group exists and responds</t>
        </is>
      </c>
      <c r="G7" s="55" t="inlineStr">
        <is>
          <t>PENDING</t>
        </is>
      </c>
      <c r="H7" s="44" t="inlineStr">
        <is>
          <t>Hardik</t>
        </is>
      </c>
      <c r="I7" s="44" t="str"/>
      <c r="J7" s="44" t="str"/>
    </row>
    <row r="8">
      <c r="A8" s="57" t="inlineStr">
        <is>
          <t>EV-004</t>
        </is>
      </c>
      <c r="B8" s="43" t="inlineStr">
        <is>
          <t>Door-side boot</t>
        </is>
      </c>
      <c r="C8" s="43" t="inlineStr">
        <is>
          <t>Photo/Video</t>
        </is>
      </c>
      <c r="D8" s="43" t="inlineStr">
        <is>
          <t>Yes</t>
        </is>
      </c>
      <c r="E8" s="43" t="str"/>
      <c r="F8" s="43" t="inlineStr">
        <is>
          <t>Display boots</t>
        </is>
      </c>
      <c r="G8" s="55" t="inlineStr">
        <is>
          <t>PENDING</t>
        </is>
      </c>
      <c r="H8" s="43" t="inlineStr">
        <is>
          <t>Hardik</t>
        </is>
      </c>
      <c r="I8" s="43" t="str"/>
      <c r="J8" s="43" t="str"/>
    </row>
    <row r="9">
      <c r="A9" s="54" t="inlineStr">
        <is>
          <t>EV-005</t>
        </is>
      </c>
      <c r="B9" s="44" t="inlineStr">
        <is>
          <t>Theme Selector long press</t>
        </is>
      </c>
      <c r="C9" s="44" t="inlineStr">
        <is>
          <t>Video</t>
        </is>
      </c>
      <c r="D9" s="44" t="inlineStr">
        <is>
          <t>Yes</t>
        </is>
      </c>
      <c r="E9" s="44" t="str"/>
      <c r="F9" s="44" t="inlineStr">
        <is>
          <t>Long press opens selector</t>
        </is>
      </c>
      <c r="G9" s="55" t="inlineStr">
        <is>
          <t>PENDING</t>
        </is>
      </c>
      <c r="H9" s="44" t="inlineStr">
        <is>
          <t>Hardik</t>
        </is>
      </c>
      <c r="I9" s="44" t="str"/>
      <c r="J9" s="44" t="str"/>
    </row>
    <row r="10">
      <c r="A10" s="57" t="inlineStr">
        <is>
          <t>EV-006</t>
        </is>
      </c>
      <c r="B10" s="43" t="inlineStr">
        <is>
          <t>Long press isolation</t>
        </is>
      </c>
      <c r="C10" s="43" t="inlineStr">
        <is>
          <t>Video</t>
        </is>
      </c>
      <c r="D10" s="43" t="inlineStr">
        <is>
          <t>Yes</t>
        </is>
      </c>
      <c r="E10" s="43" t="str"/>
      <c r="F10" s="43" t="inlineStr">
        <is>
          <t>Long press does not toggle lights</t>
        </is>
      </c>
      <c r="G10" s="55" t="inlineStr">
        <is>
          <t>PENDING</t>
        </is>
      </c>
      <c r="H10" s="43" t="inlineStr">
        <is>
          <t>Hardik</t>
        </is>
      </c>
      <c r="I10" s="43" t="str"/>
      <c r="J10" s="43" t="str"/>
    </row>
    <row r="11">
      <c r="A11" s="54" t="inlineStr">
        <is>
          <t>EV-007</t>
        </is>
      </c>
      <c r="B11" s="44" t="inlineStr">
        <is>
          <t>All 20 themes</t>
        </is>
      </c>
      <c r="C11" s="44" t="inlineStr">
        <is>
          <t>Video</t>
        </is>
      </c>
      <c r="D11" s="44" t="inlineStr">
        <is>
          <t>Yes</t>
        </is>
      </c>
      <c r="E11" s="44" t="str"/>
      <c r="F11" s="44" t="inlineStr">
        <is>
          <t>Themes browse/apply</t>
        </is>
      </c>
      <c r="G11" s="55" t="inlineStr">
        <is>
          <t>PENDING</t>
        </is>
      </c>
      <c r="H11" s="44" t="inlineStr">
        <is>
          <t>Hardik</t>
        </is>
      </c>
      <c r="I11" s="44" t="str"/>
      <c r="J11" s="44" t="str"/>
    </row>
    <row r="12">
      <c r="A12" s="57" t="inlineStr">
        <is>
          <t>EV-008</t>
        </is>
      </c>
      <c r="B12" s="43" t="inlineStr">
        <is>
          <t>Door controls lights</t>
        </is>
      </c>
      <c r="C12" s="43" t="inlineStr">
        <is>
          <t>Video</t>
        </is>
      </c>
      <c r="D12" s="43" t="inlineStr">
        <is>
          <t>Yes</t>
        </is>
      </c>
      <c r="E12" s="43" t="str"/>
      <c r="F12" s="43" t="inlineStr">
        <is>
          <t>Door → HA → lights works</t>
        </is>
      </c>
      <c r="G12" s="55" t="inlineStr">
        <is>
          <t>PENDING</t>
        </is>
      </c>
      <c r="H12" s="43" t="inlineStr">
        <is>
          <t>Hardik</t>
        </is>
      </c>
      <c r="I12" s="43" t="str"/>
      <c r="J12" s="43" t="str"/>
    </row>
    <row r="13">
      <c r="A13" s="54" t="inlineStr">
        <is>
          <t>EV-009</t>
        </is>
      </c>
      <c r="B13" s="44" t="inlineStr">
        <is>
          <t>Bedside gestures</t>
        </is>
      </c>
      <c r="C13" s="44" t="inlineStr">
        <is>
          <t>Video</t>
        </is>
      </c>
      <c r="D13" s="44" t="inlineStr">
        <is>
          <t>Yes</t>
        </is>
      </c>
      <c r="E13" s="44" t="str"/>
      <c r="F13" s="44" t="inlineStr">
        <is>
          <t>Bedside → HA → lights works</t>
        </is>
      </c>
      <c r="G13" s="55" t="inlineStr">
        <is>
          <t>PENDING</t>
        </is>
      </c>
      <c r="H13" s="44" t="inlineStr">
        <is>
          <t>Hardik</t>
        </is>
      </c>
      <c r="I13" s="44" t="str"/>
      <c r="J13" s="44" t="str"/>
    </row>
    <row r="14">
      <c r="A14" s="19" t="n"/>
      <c r="B14" s="19" t="n"/>
      <c r="C14" s="19" t="n"/>
      <c r="D14" s="19" t="n"/>
      <c r="E14" s="19" t="n"/>
      <c r="F14" s="19" t="n"/>
      <c r="G14" s="19" t="n"/>
      <c r="H14" s="19" t="n"/>
      <c r="I14" s="19" t="n"/>
      <c r="J14" s="19" t="n"/>
    </row>
    <row r="15">
      <c r="A15" s="19" t="n"/>
      <c r="B15" s="19" t="n"/>
      <c r="C15" s="19" t="n"/>
      <c r="D15" s="19" t="n"/>
      <c r="E15" s="19" t="n"/>
      <c r="F15" s="19" t="n"/>
      <c r="G15" s="19" t="n"/>
      <c r="H15" s="19" t="n"/>
      <c r="I15" s="19" t="n"/>
      <c r="J15" s="19" t="n"/>
    </row>
    <row r="16">
      <c r="A16" s="19" t="n"/>
      <c r="B16" s="19" t="n"/>
      <c r="C16" s="19" t="n"/>
      <c r="D16" s="19" t="n"/>
      <c r="E16" s="19" t="n"/>
      <c r="F16" s="19" t="n"/>
      <c r="G16" s="19" t="n"/>
      <c r="H16" s="19" t="n"/>
      <c r="I16" s="19" t="n"/>
      <c r="J16" s="19" t="n"/>
    </row>
    <row r="17">
      <c r="A17" s="19" t="n"/>
      <c r="B17" s="19" t="n"/>
      <c r="C17" s="19" t="n"/>
      <c r="D17" s="19" t="n"/>
      <c r="E17" s="19" t="n"/>
      <c r="F17" s="19" t="n"/>
      <c r="G17" s="19" t="n"/>
      <c r="H17" s="19" t="n"/>
      <c r="I17" s="19" t="n"/>
      <c r="J17" s="19" t="n"/>
    </row>
    <row r="18">
      <c r="A18" s="19" t="n"/>
      <c r="B18" s="19" t="n"/>
      <c r="C18" s="19" t="n"/>
      <c r="D18" s="19" t="n"/>
      <c r="E18" s="19" t="n"/>
      <c r="F18" s="19" t="n"/>
      <c r="G18" s="19" t="n"/>
      <c r="H18" s="19" t="n"/>
      <c r="I18" s="19" t="n"/>
      <c r="J18" s="19" t="n"/>
    </row>
    <row r="19">
      <c r="A19" s="19" t="n"/>
      <c r="B19" s="19" t="n"/>
      <c r="C19" s="19" t="n"/>
      <c r="D19" s="19" t="n"/>
      <c r="E19" s="19" t="n"/>
      <c r="F19" s="19" t="n"/>
      <c r="G19" s="19" t="n"/>
      <c r="H19" s="19" t="n"/>
      <c r="I19" s="19" t="n"/>
      <c r="J19" s="19" t="n"/>
    </row>
    <row r="20">
      <c r="A20" s="19" t="n"/>
      <c r="B20" s="19" t="n"/>
      <c r="C20" s="19" t="n"/>
      <c r="D20" s="19" t="n"/>
      <c r="E20" s="19" t="n"/>
      <c r="F20" s="19" t="n"/>
      <c r="G20" s="19" t="n"/>
      <c r="H20" s="19" t="n"/>
      <c r="I20" s="19" t="n"/>
      <c r="J20" s="19" t="n"/>
    </row>
    <row r="21">
      <c r="A21" s="19" t="n"/>
      <c r="B21" s="19" t="n"/>
      <c r="C21" s="19" t="n"/>
      <c r="D21" s="19" t="n"/>
      <c r="E21" s="19" t="n"/>
      <c r="F21" s="19" t="n"/>
      <c r="G21" s="19" t="n"/>
      <c r="H21" s="19" t="n"/>
      <c r="I21" s="19" t="n"/>
      <c r="J21" s="19" t="n"/>
    </row>
    <row r="22">
      <c r="A22" s="19" t="n"/>
      <c r="B22" s="19" t="n"/>
      <c r="C22" s="19" t="n"/>
      <c r="D22" s="19" t="n"/>
      <c r="E22" s="19" t="n"/>
      <c r="F22" s="19" t="n"/>
      <c r="G22" s="19" t="n"/>
      <c r="H22" s="19" t="n"/>
      <c r="I22" s="19" t="n"/>
      <c r="J22" s="19" t="n"/>
    </row>
    <row r="23">
      <c r="A23" s="19" t="n"/>
      <c r="B23" s="19" t="n"/>
      <c r="C23" s="19" t="n"/>
      <c r="D23" s="19" t="n"/>
      <c r="E23" s="19" t="n"/>
      <c r="F23" s="19" t="n"/>
      <c r="G23" s="19" t="n"/>
      <c r="H23" s="19" t="n"/>
      <c r="I23" s="19" t="n"/>
      <c r="J23" s="19" t="n"/>
    </row>
    <row r="24">
      <c r="A24" s="19" t="n"/>
      <c r="B24" s="19" t="n"/>
      <c r="C24" s="19" t="n"/>
      <c r="D24" s="19" t="n"/>
      <c r="E24" s="19" t="n"/>
      <c r="F24" s="19" t="n"/>
      <c r="G24" s="19" t="n"/>
      <c r="H24" s="19" t="n"/>
      <c r="I24" s="19" t="n"/>
      <c r="J24" s="19" t="n"/>
    </row>
    <row r="25">
      <c r="A25" s="19" t="n"/>
      <c r="B25" s="19" t="n"/>
      <c r="C25" s="19" t="n"/>
      <c r="D25" s="19" t="n"/>
      <c r="E25" s="19" t="n"/>
      <c r="F25" s="19" t="n"/>
      <c r="G25" s="19" t="n"/>
      <c r="H25" s="19" t="n"/>
      <c r="I25" s="19" t="n"/>
      <c r="J25" s="19" t="n"/>
    </row>
    <row r="26">
      <c r="A26" s="19" t="n"/>
      <c r="B26" s="19" t="n"/>
      <c r="C26" s="19" t="n"/>
      <c r="D26" s="19" t="n"/>
      <c r="E26" s="19" t="n"/>
      <c r="F26" s="19" t="n"/>
      <c r="G26" s="19" t="n"/>
      <c r="H26" s="19" t="n"/>
      <c r="I26" s="19" t="n"/>
      <c r="J26" s="19" t="n"/>
    </row>
    <row r="27">
      <c r="A27" s="19" t="n"/>
      <c r="B27" s="19" t="n"/>
      <c r="C27" s="19" t="n"/>
      <c r="D27" s="19" t="n"/>
      <c r="E27" s="19" t="n"/>
      <c r="F27" s="19" t="n"/>
      <c r="G27" s="19" t="n"/>
      <c r="H27" s="19" t="n"/>
      <c r="I27" s="19" t="n"/>
      <c r="J27" s="19" t="n"/>
    </row>
    <row r="28">
      <c r="A28" s="19" t="n"/>
      <c r="B28" s="19" t="n"/>
      <c r="C28" s="19" t="n"/>
      <c r="D28" s="19" t="n"/>
      <c r="E28" s="19" t="n"/>
      <c r="F28" s="19" t="n"/>
      <c r="G28" s="19" t="n"/>
      <c r="H28" s="19" t="n"/>
      <c r="I28" s="19" t="n"/>
      <c r="J28" s="19" t="n"/>
    </row>
    <row r="29">
      <c r="A29" s="19" t="n"/>
      <c r="B29" s="19" t="n"/>
      <c r="C29" s="19" t="n"/>
      <c r="D29" s="19" t="n"/>
      <c r="E29" s="19" t="n"/>
      <c r="F29" s="19" t="n"/>
      <c r="G29" s="19" t="n"/>
      <c r="H29" s="19" t="n"/>
      <c r="I29" s="19" t="n"/>
      <c r="J29" s="19" t="n"/>
    </row>
    <row r="30">
      <c r="A30" s="19" t="n"/>
      <c r="B30" s="19" t="n"/>
      <c r="C30" s="19" t="n"/>
      <c r="D30" s="19" t="n"/>
      <c r="E30" s="19" t="n"/>
      <c r="F30" s="19" t="n"/>
      <c r="G30" s="19" t="n"/>
      <c r="H30" s="19" t="n"/>
      <c r="I30" s="19" t="n"/>
      <c r="J30" s="19" t="n"/>
    </row>
    <row r="31">
      <c r="A31" s="19" t="n"/>
      <c r="B31" s="19" t="n"/>
      <c r="C31" s="19" t="n"/>
      <c r="D31" s="19" t="n"/>
      <c r="E31" s="19" t="n"/>
      <c r="F31" s="19" t="n"/>
      <c r="G31" s="19" t="n"/>
      <c r="H31" s="19" t="n"/>
      <c r="I31" s="19" t="n"/>
      <c r="J31" s="19" t="n"/>
    </row>
    <row r="32">
      <c r="A32" s="19" t="n"/>
      <c r="B32" s="19" t="n"/>
      <c r="C32" s="19" t="n"/>
      <c r="D32" s="19" t="n"/>
      <c r="E32" s="19" t="n"/>
      <c r="F32" s="19" t="n"/>
      <c r="G32" s="19" t="n"/>
      <c r="H32" s="19" t="n"/>
      <c r="I32" s="19" t="n"/>
      <c r="J32" s="19" t="n"/>
    </row>
    <row r="33">
      <c r="A33" s="19" t="n"/>
      <c r="B33" s="19" t="n"/>
      <c r="C33" s="19" t="n"/>
      <c r="D33" s="19" t="n"/>
      <c r="E33" s="19" t="n"/>
      <c r="F33" s="19" t="n"/>
      <c r="G33" s="19" t="n"/>
      <c r="H33" s="19" t="n"/>
      <c r="I33" s="19" t="n"/>
      <c r="J33" s="19" t="n"/>
    </row>
    <row r="34">
      <c r="A34" s="19" t="n"/>
      <c r="B34" s="19" t="n"/>
      <c r="C34" s="19" t="n"/>
      <c r="D34" s="19" t="n"/>
      <c r="E34" s="19" t="n"/>
      <c r="F34" s="19" t="n"/>
      <c r="G34" s="19" t="n"/>
      <c r="H34" s="19" t="n"/>
      <c r="I34" s="19" t="n"/>
      <c r="J34" s="19" t="n"/>
    </row>
    <row r="35">
      <c r="A35" s="19" t="n"/>
      <c r="B35" s="19" t="n"/>
      <c r="C35" s="19" t="n"/>
      <c r="D35" s="19" t="n"/>
      <c r="E35" s="19" t="n"/>
      <c r="F35" s="19" t="n"/>
      <c r="G35" s="19" t="n"/>
      <c r="H35" s="19" t="n"/>
      <c r="I35" s="19" t="n"/>
      <c r="J35" s="19" t="n"/>
    </row>
    <row r="36">
      <c r="A36" s="19" t="n"/>
      <c r="B36" s="19" t="n"/>
      <c r="C36" s="19" t="n"/>
      <c r="D36" s="19" t="n"/>
      <c r="E36" s="19" t="n"/>
      <c r="F36" s="19" t="n"/>
      <c r="G36" s="19" t="n"/>
      <c r="H36" s="19" t="n"/>
      <c r="I36" s="19" t="n"/>
      <c r="J36" s="19" t="n"/>
    </row>
    <row r="37">
      <c r="A37" s="19" t="n"/>
      <c r="B37" s="19" t="n"/>
      <c r="C37" s="19" t="n"/>
      <c r="D37" s="19" t="n"/>
      <c r="E37" s="19" t="n"/>
      <c r="F37" s="19" t="n"/>
      <c r="G37" s="19" t="n"/>
      <c r="H37" s="19" t="n"/>
      <c r="I37" s="19" t="n"/>
      <c r="J37" s="19" t="n"/>
    </row>
    <row r="38">
      <c r="A38" s="19" t="n"/>
      <c r="B38" s="19" t="n"/>
      <c r="C38" s="19" t="n"/>
      <c r="D38" s="19" t="n"/>
      <c r="E38" s="19" t="n"/>
      <c r="F38" s="19" t="n"/>
      <c r="G38" s="19" t="n"/>
      <c r="H38" s="19" t="n"/>
      <c r="I38" s="19" t="n"/>
      <c r="J38" s="19" t="n"/>
    </row>
    <row r="39">
      <c r="A39" s="19" t="n"/>
      <c r="B39" s="19" t="n"/>
      <c r="C39" s="19" t="n"/>
      <c r="D39" s="19" t="n"/>
      <c r="E39" s="19" t="n"/>
      <c r="F39" s="19" t="n"/>
      <c r="G39" s="19" t="n"/>
      <c r="H39" s="19" t="n"/>
      <c r="I39" s="19" t="n"/>
      <c r="J39" s="19" t="n"/>
    </row>
    <row r="40">
      <c r="A40" s="19" t="n"/>
      <c r="B40" s="19" t="n"/>
      <c r="C40" s="19" t="n"/>
      <c r="D40" s="19" t="n"/>
      <c r="E40" s="19" t="n"/>
      <c r="F40" s="19" t="n"/>
      <c r="G40" s="19" t="n"/>
      <c r="H40" s="19" t="n"/>
      <c r="I40" s="19" t="n"/>
      <c r="J40" s="19" t="n"/>
    </row>
    <row r="41">
      <c r="A41" s="19" t="n"/>
      <c r="B41" s="19" t="n"/>
      <c r="C41" s="19" t="n"/>
      <c r="D41" s="19" t="n"/>
      <c r="E41" s="19" t="n"/>
      <c r="F41" s="19" t="n"/>
      <c r="G41" s="19" t="n"/>
      <c r="H41" s="19" t="n"/>
      <c r="I41" s="19" t="n"/>
      <c r="J41" s="19" t="n"/>
    </row>
    <row r="42">
      <c r="A42" s="19" t="n"/>
      <c r="B42" s="19" t="n"/>
      <c r="C42" s="19" t="n"/>
      <c r="D42" s="19" t="n"/>
      <c r="E42" s="19" t="n"/>
      <c r="F42" s="19" t="n"/>
      <c r="G42" s="19" t="n"/>
      <c r="H42" s="19" t="n"/>
      <c r="I42" s="19" t="n"/>
      <c r="J42" s="19" t="n"/>
    </row>
    <row r="43">
      <c r="A43" s="19" t="n"/>
      <c r="B43" s="19" t="n"/>
      <c r="C43" s="19" t="n"/>
      <c r="D43" s="19" t="n"/>
      <c r="E43" s="19" t="n"/>
      <c r="F43" s="19" t="n"/>
      <c r="G43" s="19" t="n"/>
      <c r="H43" s="19" t="n"/>
      <c r="I43" s="19" t="n"/>
      <c r="J43" s="19" t="n"/>
    </row>
    <row r="44">
      <c r="A44" s="19" t="n"/>
      <c r="B44" s="19" t="n"/>
      <c r="C44" s="19" t="n"/>
      <c r="D44" s="19" t="n"/>
      <c r="E44" s="19" t="n"/>
      <c r="F44" s="19" t="n"/>
      <c r="G44" s="19" t="n"/>
      <c r="H44" s="19" t="n"/>
      <c r="I44" s="19" t="n"/>
      <c r="J44" s="19" t="n"/>
    </row>
    <row r="45">
      <c r="A45" s="19" t="n"/>
      <c r="B45" s="19" t="n"/>
      <c r="C45" s="19" t="n"/>
      <c r="D45" s="19" t="n"/>
      <c r="E45" s="19" t="n"/>
      <c r="F45" s="19" t="n"/>
      <c r="G45" s="19" t="n"/>
      <c r="H45" s="19" t="n"/>
      <c r="I45" s="19" t="n"/>
      <c r="J45" s="19" t="n"/>
    </row>
    <row r="46">
      <c r="A46" s="19" t="n"/>
      <c r="B46" s="19" t="n"/>
      <c r="C46" s="19" t="n"/>
      <c r="D46" s="19" t="n"/>
      <c r="E46" s="19" t="n"/>
      <c r="F46" s="19" t="n"/>
      <c r="G46" s="19" t="n"/>
      <c r="H46" s="19" t="n"/>
      <c r="I46" s="19" t="n"/>
      <c r="J46" s="19" t="n"/>
    </row>
    <row r="47">
      <c r="A47" s="19" t="n"/>
      <c r="B47" s="19" t="n"/>
      <c r="C47" s="19" t="n"/>
      <c r="D47" s="19" t="n"/>
      <c r="E47" s="19" t="n"/>
      <c r="F47" s="19" t="n"/>
      <c r="G47" s="19" t="n"/>
      <c r="H47" s="19" t="n"/>
      <c r="I47" s="19" t="n"/>
      <c r="J47" s="19" t="n"/>
    </row>
    <row r="48">
      <c r="A48" s="19" t="n"/>
      <c r="B48" s="19" t="n"/>
      <c r="C48" s="19" t="n"/>
      <c r="D48" s="19" t="n"/>
      <c r="E48" s="19" t="n"/>
      <c r="F48" s="19" t="n"/>
      <c r="G48" s="19" t="n"/>
      <c r="H48" s="19" t="n"/>
      <c r="I48" s="19" t="n"/>
      <c r="J48" s="19" t="n"/>
    </row>
    <row r="49">
      <c r="A49" s="19" t="n"/>
      <c r="B49" s="19" t="n"/>
      <c r="C49" s="19" t="n"/>
      <c r="D49" s="19" t="n"/>
      <c r="E49" s="19" t="n"/>
      <c r="F49" s="19" t="n"/>
      <c r="G49" s="19" t="n"/>
      <c r="H49" s="19" t="n"/>
      <c r="I49" s="19" t="n"/>
      <c r="J49" s="19" t="n"/>
    </row>
    <row r="50">
      <c r="A50" s="19" t="n"/>
      <c r="B50" s="19" t="n"/>
      <c r="C50" s="19" t="n"/>
      <c r="D50" s="19" t="n"/>
      <c r="E50" s="19" t="n"/>
      <c r="F50" s="19" t="n"/>
      <c r="G50" s="19" t="n"/>
      <c r="H50" s="19" t="n"/>
      <c r="I50" s="19" t="n"/>
      <c r="J50" s="19" t="n"/>
    </row>
    <row r="51">
      <c r="A51" s="19" t="n"/>
      <c r="B51" s="19" t="n"/>
      <c r="C51" s="19" t="n"/>
      <c r="D51" s="19" t="n"/>
      <c r="E51" s="19" t="n"/>
      <c r="F51" s="19" t="n"/>
      <c r="G51" s="19" t="n"/>
      <c r="H51" s="19" t="n"/>
      <c r="I51" s="19" t="n"/>
      <c r="J51" s="19" t="n"/>
    </row>
    <row r="52">
      <c r="A52" s="19" t="n"/>
      <c r="B52" s="19" t="n"/>
      <c r="C52" s="19" t="n"/>
      <c r="D52" s="19" t="n"/>
      <c r="E52" s="19" t="n"/>
      <c r="F52" s="19" t="n"/>
      <c r="G52" s="19" t="n"/>
      <c r="H52" s="19" t="n"/>
      <c r="I52" s="19" t="n"/>
      <c r="J52" s="19" t="n"/>
    </row>
    <row r="53">
      <c r="A53" s="19" t="n"/>
      <c r="B53" s="19" t="n"/>
      <c r="C53" s="19" t="n"/>
      <c r="D53" s="19" t="n"/>
      <c r="E53" s="19" t="n"/>
      <c r="F53" s="19" t="n"/>
      <c r="G53" s="19" t="n"/>
      <c r="H53" s="19" t="n"/>
      <c r="I53" s="19" t="n"/>
      <c r="J53" s="19" t="n"/>
    </row>
    <row r="54">
      <c r="A54" s="19" t="n"/>
      <c r="B54" s="19" t="n"/>
      <c r="C54" s="19" t="n"/>
      <c r="D54" s="19" t="n"/>
      <c r="E54" s="19" t="n"/>
      <c r="F54" s="19" t="n"/>
      <c r="G54" s="19" t="n"/>
      <c r="H54" s="19" t="n"/>
      <c r="I54" s="19" t="n"/>
      <c r="J54" s="19" t="n"/>
    </row>
    <row r="55">
      <c r="A55" s="19" t="n"/>
      <c r="B55" s="19" t="n"/>
      <c r="C55" s="19" t="n"/>
      <c r="D55" s="19" t="n"/>
      <c r="E55" s="19" t="n"/>
      <c r="F55" s="19" t="n"/>
      <c r="G55" s="19" t="n"/>
      <c r="H55" s="19" t="n"/>
      <c r="I55" s="19" t="n"/>
      <c r="J55" s="19" t="n"/>
    </row>
    <row r="56">
      <c r="A56" s="19" t="n"/>
      <c r="B56" s="19" t="n"/>
      <c r="C56" s="19" t="n"/>
      <c r="D56" s="19" t="n"/>
      <c r="E56" s="19" t="n"/>
      <c r="F56" s="19" t="n"/>
      <c r="G56" s="19" t="n"/>
      <c r="H56" s="19" t="n"/>
      <c r="I56" s="19" t="n"/>
      <c r="J56" s="19" t="n"/>
    </row>
    <row r="57">
      <c r="A57" s="19" t="n"/>
      <c r="B57" s="19" t="n"/>
      <c r="C57" s="19" t="n"/>
      <c r="D57" s="19" t="n"/>
      <c r="E57" s="19" t="n"/>
      <c r="F57" s="19" t="n"/>
      <c r="G57" s="19" t="n"/>
      <c r="H57" s="19" t="n"/>
      <c r="I57" s="19" t="n"/>
      <c r="J57" s="19" t="n"/>
    </row>
    <row r="58">
      <c r="A58" s="19" t="n"/>
      <c r="B58" s="19" t="n"/>
      <c r="C58" s="19" t="n"/>
      <c r="D58" s="19" t="n"/>
      <c r="E58" s="19" t="n"/>
      <c r="F58" s="19" t="n"/>
      <c r="G58" s="19" t="n"/>
      <c r="H58" s="19" t="n"/>
      <c r="I58" s="19" t="n"/>
      <c r="J58" s="19" t="n"/>
    </row>
    <row r="59">
      <c r="A59" s="19" t="n"/>
      <c r="B59" s="19" t="n"/>
      <c r="C59" s="19" t="n"/>
      <c r="D59" s="19" t="n"/>
      <c r="E59" s="19" t="n"/>
      <c r="F59" s="19" t="n"/>
      <c r="G59" s="19" t="n"/>
      <c r="H59" s="19" t="n"/>
      <c r="I59" s="19" t="n"/>
      <c r="J59" s="19" t="n"/>
    </row>
    <row r="60">
      <c r="A60" s="19" t="n"/>
      <c r="B60" s="19" t="n"/>
      <c r="C60" s="19" t="n"/>
      <c r="D60" s="19" t="n"/>
      <c r="E60" s="19" t="n"/>
      <c r="F60" s="19" t="n"/>
      <c r="G60" s="19" t="n"/>
      <c r="H60" s="19" t="n"/>
      <c r="I60" s="19" t="n"/>
      <c r="J60" s="19" t="n"/>
    </row>
    <row r="61">
      <c r="A61" s="19" t="n"/>
      <c r="B61" s="19" t="n"/>
      <c r="C61" s="19" t="n"/>
      <c r="D61" s="19" t="n"/>
      <c r="E61" s="19" t="n"/>
      <c r="F61" s="19" t="n"/>
      <c r="G61" s="19" t="n"/>
      <c r="H61" s="19" t="n"/>
      <c r="I61" s="19" t="n"/>
      <c r="J61" s="19" t="n"/>
    </row>
    <row r="62">
      <c r="A62" s="19" t="n"/>
      <c r="B62" s="19" t="n"/>
      <c r="C62" s="19" t="n"/>
      <c r="D62" s="19" t="n"/>
      <c r="E62" s="19" t="n"/>
      <c r="F62" s="19" t="n"/>
      <c r="G62" s="19" t="n"/>
      <c r="H62" s="19" t="n"/>
      <c r="I62" s="19" t="n"/>
      <c r="J62" s="19" t="n"/>
    </row>
    <row r="63">
      <c r="A63" s="19" t="n"/>
      <c r="B63" s="19" t="n"/>
      <c r="C63" s="19" t="n"/>
      <c r="D63" s="19" t="n"/>
      <c r="E63" s="19" t="n"/>
      <c r="F63" s="19" t="n"/>
      <c r="G63" s="19" t="n"/>
      <c r="H63" s="19" t="n"/>
      <c r="I63" s="19" t="n"/>
      <c r="J63" s="19" t="n"/>
    </row>
    <row r="64">
      <c r="A64" s="19" t="n"/>
      <c r="B64" s="19" t="n"/>
      <c r="C64" s="19" t="n"/>
      <c r="D64" s="19" t="n"/>
      <c r="E64" s="19" t="n"/>
      <c r="F64" s="19" t="n"/>
      <c r="G64" s="19" t="n"/>
      <c r="H64" s="19" t="n"/>
      <c r="I64" s="19" t="n"/>
      <c r="J64" s="19" t="n"/>
    </row>
    <row r="65">
      <c r="A65" s="19" t="n"/>
      <c r="B65" s="19" t="n"/>
      <c r="C65" s="19" t="n"/>
      <c r="D65" s="19" t="n"/>
      <c r="E65" s="19" t="n"/>
      <c r="F65" s="19" t="n"/>
      <c r="G65" s="19" t="n"/>
      <c r="H65" s="19" t="n"/>
      <c r="I65" s="19" t="n"/>
      <c r="J65" s="19" t="n"/>
    </row>
    <row r="66">
      <c r="A66" s="19" t="n"/>
      <c r="B66" s="19" t="n"/>
      <c r="C66" s="19" t="n"/>
      <c r="D66" s="19" t="n"/>
      <c r="E66" s="19" t="n"/>
      <c r="F66" s="19" t="n"/>
      <c r="G66" s="19" t="n"/>
      <c r="H66" s="19" t="n"/>
      <c r="I66" s="19" t="n"/>
      <c r="J66" s="19" t="n"/>
    </row>
    <row r="67">
      <c r="A67" s="19" t="n"/>
      <c r="B67" s="19" t="n"/>
      <c r="C67" s="19" t="n"/>
      <c r="D67" s="19" t="n"/>
      <c r="E67" s="19" t="n"/>
      <c r="F67" s="19" t="n"/>
      <c r="G67" s="19" t="n"/>
      <c r="H67" s="19" t="n"/>
      <c r="I67" s="19" t="n"/>
      <c r="J67" s="19" t="n"/>
    </row>
    <row r="68">
      <c r="A68" s="19" t="n"/>
      <c r="B68" s="19" t="n"/>
      <c r="C68" s="19" t="n"/>
      <c r="D68" s="19" t="n"/>
      <c r="E68" s="19" t="n"/>
      <c r="F68" s="19" t="n"/>
      <c r="G68" s="19" t="n"/>
      <c r="H68" s="19" t="n"/>
      <c r="I68" s="19" t="n"/>
      <c r="J68" s="19" t="n"/>
    </row>
    <row r="69">
      <c r="A69" s="19" t="n"/>
      <c r="B69" s="19" t="n"/>
      <c r="C69" s="19" t="n"/>
      <c r="D69" s="19" t="n"/>
      <c r="E69" s="19" t="n"/>
      <c r="F69" s="19" t="n"/>
      <c r="G69" s="19" t="n"/>
      <c r="H69" s="19" t="n"/>
      <c r="I69" s="19" t="n"/>
      <c r="J69" s="19" t="n"/>
    </row>
    <row r="70">
      <c r="A70" s="19" t="n"/>
      <c r="B70" s="19" t="n"/>
      <c r="C70" s="19" t="n"/>
      <c r="D70" s="19" t="n"/>
      <c r="E70" s="19" t="n"/>
      <c r="F70" s="19" t="n"/>
      <c r="G70" s="19" t="n"/>
      <c r="H70" s="19" t="n"/>
      <c r="I70" s="19" t="n"/>
      <c r="J70" s="19" t="n"/>
    </row>
    <row r="71">
      <c r="A71" s="19" t="n"/>
      <c r="B71" s="19" t="n"/>
      <c r="C71" s="19" t="n"/>
      <c r="D71" s="19" t="n"/>
      <c r="E71" s="19" t="n"/>
      <c r="F71" s="19" t="n"/>
      <c r="G71" s="19" t="n"/>
      <c r="H71" s="19" t="n"/>
      <c r="I71" s="19" t="n"/>
      <c r="J71" s="19" t="n"/>
    </row>
    <row r="72">
      <c r="A72" s="19" t="n"/>
      <c r="B72" s="19" t="n"/>
      <c r="C72" s="19" t="n"/>
      <c r="D72" s="19" t="n"/>
      <c r="E72" s="19" t="n"/>
      <c r="F72" s="19" t="n"/>
      <c r="G72" s="19" t="n"/>
      <c r="H72" s="19" t="n"/>
      <c r="I72" s="19" t="n"/>
      <c r="J72" s="19" t="n"/>
    </row>
    <row r="73">
      <c r="A73" s="19" t="n"/>
      <c r="B73" s="19" t="n"/>
      <c r="C73" s="19" t="n"/>
      <c r="D73" s="19" t="n"/>
      <c r="E73" s="19" t="n"/>
      <c r="F73" s="19" t="n"/>
      <c r="G73" s="19" t="n"/>
      <c r="H73" s="19" t="n"/>
      <c r="I73" s="19" t="n"/>
      <c r="J73" s="19" t="n"/>
    </row>
    <row r="74">
      <c r="A74" s="19" t="n"/>
      <c r="B74" s="19" t="n"/>
      <c r="C74" s="19" t="n"/>
      <c r="D74" s="19" t="n"/>
      <c r="E74" s="19" t="n"/>
      <c r="F74" s="19" t="n"/>
      <c r="G74" s="19" t="n"/>
      <c r="H74" s="19" t="n"/>
      <c r="I74" s="19" t="n"/>
      <c r="J74" s="19" t="n"/>
    </row>
    <row r="75">
      <c r="A75" s="19" t="n"/>
      <c r="B75" s="19" t="n"/>
      <c r="C75" s="19" t="n"/>
      <c r="D75" s="19" t="n"/>
      <c r="E75" s="19" t="n"/>
      <c r="F75" s="19" t="n"/>
      <c r="G75" s="19" t="n"/>
      <c r="H75" s="19" t="n"/>
      <c r="I75" s="19" t="n"/>
      <c r="J75" s="19" t="n"/>
    </row>
    <row r="76">
      <c r="A76" s="19" t="n"/>
      <c r="B76" s="19" t="n"/>
      <c r="C76" s="19" t="n"/>
      <c r="D76" s="19" t="n"/>
      <c r="E76" s="19" t="n"/>
      <c r="F76" s="19" t="n"/>
      <c r="G76" s="19" t="n"/>
      <c r="H76" s="19" t="n"/>
      <c r="I76" s="19" t="n"/>
      <c r="J76" s="19" t="n"/>
    </row>
    <row r="77">
      <c r="A77" s="19" t="n"/>
      <c r="B77" s="19" t="n"/>
      <c r="C77" s="19" t="n"/>
      <c r="D77" s="19" t="n"/>
      <c r="E77" s="19" t="n"/>
      <c r="F77" s="19" t="n"/>
      <c r="G77" s="19" t="n"/>
      <c r="H77" s="19" t="n"/>
      <c r="I77" s="19" t="n"/>
      <c r="J77" s="19" t="n"/>
    </row>
    <row r="78">
      <c r="A78" s="19" t="n"/>
      <c r="B78" s="19" t="n"/>
      <c r="C78" s="19" t="n"/>
      <c r="D78" s="19" t="n"/>
      <c r="E78" s="19" t="n"/>
      <c r="F78" s="19" t="n"/>
      <c r="G78" s="19" t="n"/>
      <c r="H78" s="19" t="n"/>
      <c r="I78" s="19" t="n"/>
      <c r="J78" s="19" t="n"/>
    </row>
    <row r="79">
      <c r="A79" s="19" t="n"/>
      <c r="B79" s="19" t="n"/>
      <c r="C79" s="19" t="n"/>
      <c r="D79" s="19" t="n"/>
      <c r="E79" s="19" t="n"/>
      <c r="F79" s="19" t="n"/>
      <c r="G79" s="19" t="n"/>
      <c r="H79" s="19" t="n"/>
      <c r="I79" s="19" t="n"/>
      <c r="J79" s="19" t="n"/>
    </row>
    <row r="80">
      <c r="A80" s="19" t="n"/>
      <c r="B80" s="19" t="n"/>
      <c r="C80" s="19" t="n"/>
      <c r="D80" s="19" t="n"/>
      <c r="E80" s="19" t="n"/>
      <c r="F80" s="19" t="n"/>
      <c r="G80" s="19" t="n"/>
      <c r="H80" s="19" t="n"/>
      <c r="I80" s="19" t="n"/>
      <c r="J80" s="19" t="n"/>
    </row>
    <row r="81">
      <c r="A81" s="19" t="n"/>
      <c r="B81" s="19" t="n"/>
      <c r="C81" s="19" t="n"/>
      <c r="D81" s="19" t="n"/>
      <c r="E81" s="19" t="n"/>
      <c r="F81" s="19" t="n"/>
      <c r="G81" s="19" t="n"/>
      <c r="H81" s="19" t="n"/>
      <c r="I81" s="19" t="n"/>
      <c r="J81" s="19" t="n"/>
    </row>
    <row r="82">
      <c r="A82" s="19" t="n"/>
      <c r="B82" s="19" t="n"/>
      <c r="C82" s="19" t="n"/>
      <c r="D82" s="19" t="n"/>
      <c r="E82" s="19" t="n"/>
      <c r="F82" s="19" t="n"/>
      <c r="G82" s="19" t="n"/>
      <c r="H82" s="19" t="n"/>
      <c r="I82" s="19" t="n"/>
      <c r="J82" s="19" t="n"/>
    </row>
    <row r="83">
      <c r="A83" s="19" t="n"/>
      <c r="B83" s="19" t="n"/>
      <c r="C83" s="19" t="n"/>
      <c r="D83" s="19" t="n"/>
      <c r="E83" s="19" t="n"/>
      <c r="F83" s="19" t="n"/>
      <c r="G83" s="19" t="n"/>
      <c r="H83" s="19" t="n"/>
      <c r="I83" s="19" t="n"/>
      <c r="J83" s="19" t="n"/>
    </row>
    <row r="84">
      <c r="A84" s="19" t="n"/>
      <c r="B84" s="19" t="n"/>
      <c r="C84" s="19" t="n"/>
      <c r="D84" s="19" t="n"/>
      <c r="E84" s="19" t="n"/>
      <c r="F84" s="19" t="n"/>
      <c r="G84" s="19" t="n"/>
      <c r="H84" s="19" t="n"/>
      <c r="I84" s="19" t="n"/>
      <c r="J84" s="19" t="n"/>
    </row>
    <row r="85">
      <c r="A85" s="19" t="n"/>
      <c r="B85" s="19" t="n"/>
      <c r="C85" s="19" t="n"/>
      <c r="D85" s="19" t="n"/>
      <c r="E85" s="19" t="n"/>
      <c r="F85" s="19" t="n"/>
      <c r="G85" s="19" t="n"/>
      <c r="H85" s="19" t="n"/>
      <c r="I85" s="19" t="n"/>
      <c r="J85" s="19" t="n"/>
    </row>
    <row r="86">
      <c r="A86" s="19" t="n"/>
      <c r="B86" s="19" t="n"/>
      <c r="C86" s="19" t="n"/>
      <c r="D86" s="19" t="n"/>
      <c r="E86" s="19" t="n"/>
      <c r="F86" s="19" t="n"/>
      <c r="G86" s="19" t="n"/>
      <c r="H86" s="19" t="n"/>
      <c r="I86" s="19" t="n"/>
      <c r="J86" s="19" t="n"/>
    </row>
    <row r="87">
      <c r="A87" s="19" t="n"/>
      <c r="B87" s="19" t="n"/>
      <c r="C87" s="19" t="n"/>
      <c r="D87" s="19" t="n"/>
      <c r="E87" s="19" t="n"/>
      <c r="F87" s="19" t="n"/>
      <c r="G87" s="19" t="n"/>
      <c r="H87" s="19" t="n"/>
      <c r="I87" s="19" t="n"/>
      <c r="J87" s="19" t="n"/>
    </row>
    <row r="88">
      <c r="A88" s="19" t="n"/>
      <c r="B88" s="19" t="n"/>
      <c r="C88" s="19" t="n"/>
      <c r="D88" s="19" t="n"/>
      <c r="E88" s="19" t="n"/>
      <c r="F88" s="19" t="n"/>
      <c r="G88" s="19" t="n"/>
      <c r="H88" s="19" t="n"/>
      <c r="I88" s="19" t="n"/>
      <c r="J88" s="19" t="n"/>
    </row>
    <row r="89">
      <c r="A89" s="19" t="n"/>
      <c r="B89" s="19" t="n"/>
      <c r="C89" s="19" t="n"/>
      <c r="D89" s="19" t="n"/>
      <c r="E89" s="19" t="n"/>
      <c r="F89" s="19" t="n"/>
      <c r="G89" s="19" t="n"/>
      <c r="H89" s="19" t="n"/>
      <c r="I89" s="19" t="n"/>
      <c r="J89" s="19" t="n"/>
    </row>
    <row r="90">
      <c r="A90" s="19" t="n"/>
      <c r="B90" s="19" t="n"/>
      <c r="C90" s="19" t="n"/>
      <c r="D90" s="19" t="n"/>
      <c r="E90" s="19" t="n"/>
      <c r="F90" s="19" t="n"/>
      <c r="G90" s="19" t="n"/>
      <c r="H90" s="19" t="n"/>
      <c r="I90" s="19" t="n"/>
      <c r="J90" s="19" t="n"/>
    </row>
    <row r="91">
      <c r="A91" s="19" t="n"/>
      <c r="B91" s="19" t="n"/>
      <c r="C91" s="19" t="n"/>
      <c r="D91" s="19" t="n"/>
      <c r="E91" s="19" t="n"/>
      <c r="F91" s="19" t="n"/>
      <c r="G91" s="19" t="n"/>
      <c r="H91" s="19" t="n"/>
      <c r="I91" s="19" t="n"/>
      <c r="J91" s="19" t="n"/>
    </row>
    <row r="92">
      <c r="A92" s="19" t="n"/>
      <c r="B92" s="19" t="n"/>
      <c r="C92" s="19" t="n"/>
      <c r="D92" s="19" t="n"/>
      <c r="E92" s="19" t="n"/>
      <c r="F92" s="19" t="n"/>
      <c r="G92" s="19" t="n"/>
      <c r="H92" s="19" t="n"/>
      <c r="I92" s="19" t="n"/>
      <c r="J92" s="19" t="n"/>
    </row>
    <row r="93">
      <c r="A93" s="19" t="n"/>
      <c r="B93" s="19" t="n"/>
      <c r="C93" s="19" t="n"/>
      <c r="D93" s="19" t="n"/>
      <c r="E93" s="19" t="n"/>
      <c r="F93" s="19" t="n"/>
      <c r="G93" s="19" t="n"/>
      <c r="H93" s="19" t="n"/>
      <c r="I93" s="19" t="n"/>
      <c r="J93" s="19" t="n"/>
    </row>
    <row r="94">
      <c r="A94" s="19" t="n"/>
      <c r="B94" s="19" t="n"/>
      <c r="C94" s="19" t="n"/>
      <c r="D94" s="19" t="n"/>
      <c r="E94" s="19" t="n"/>
      <c r="F94" s="19" t="n"/>
      <c r="G94" s="19" t="n"/>
      <c r="H94" s="19" t="n"/>
      <c r="I94" s="19" t="n"/>
      <c r="J94" s="19" t="n"/>
    </row>
    <row r="95">
      <c r="A95" s="19" t="n"/>
      <c r="B95" s="19" t="n"/>
      <c r="C95" s="19" t="n"/>
      <c r="D95" s="19" t="n"/>
      <c r="E95" s="19" t="n"/>
      <c r="F95" s="19" t="n"/>
      <c r="G95" s="19" t="n"/>
      <c r="H95" s="19" t="n"/>
      <c r="I95" s="19" t="n"/>
      <c r="J95" s="19" t="n"/>
    </row>
    <row r="96">
      <c r="A96" s="19" t="n"/>
      <c r="B96" s="19" t="n"/>
      <c r="C96" s="19" t="n"/>
      <c r="D96" s="19" t="n"/>
      <c r="E96" s="19" t="n"/>
      <c r="F96" s="19" t="n"/>
      <c r="G96" s="19" t="n"/>
      <c r="H96" s="19" t="n"/>
      <c r="I96" s="19" t="n"/>
      <c r="J96" s="19" t="n"/>
    </row>
    <row r="97">
      <c r="A97" s="19" t="n"/>
      <c r="B97" s="19" t="n"/>
      <c r="C97" s="19" t="n"/>
      <c r="D97" s="19" t="n"/>
      <c r="E97" s="19" t="n"/>
      <c r="F97" s="19" t="n"/>
      <c r="G97" s="19" t="n"/>
      <c r="H97" s="19" t="n"/>
      <c r="I97" s="19" t="n"/>
      <c r="J97" s="19" t="n"/>
    </row>
    <row r="98">
      <c r="A98" s="19" t="n"/>
      <c r="B98" s="19" t="n"/>
      <c r="C98" s="19" t="n"/>
      <c r="D98" s="19" t="n"/>
      <c r="E98" s="19" t="n"/>
      <c r="F98" s="19" t="n"/>
      <c r="G98" s="19" t="n"/>
      <c r="H98" s="19" t="n"/>
      <c r="I98" s="19" t="n"/>
      <c r="J98" s="19" t="n"/>
    </row>
    <row r="99">
      <c r="A99" s="19" t="n"/>
      <c r="B99" s="19" t="n"/>
      <c r="C99" s="19" t="n"/>
      <c r="D99" s="19" t="n"/>
      <c r="E99" s="19" t="n"/>
      <c r="F99" s="19" t="n"/>
      <c r="G99" s="19" t="n"/>
      <c r="H99" s="19" t="n"/>
      <c r="I99" s="19" t="n"/>
      <c r="J99" s="19" t="n"/>
    </row>
    <row r="100">
      <c r="A100" s="19" t="n"/>
      <c r="B100" s="19" t="n"/>
      <c r="C100" s="19" t="n"/>
      <c r="D100" s="19" t="n"/>
      <c r="E100" s="19" t="n"/>
      <c r="F100" s="19" t="n"/>
      <c r="G100" s="19" t="n"/>
      <c r="H100" s="19" t="n"/>
      <c r="I100" s="19" t="n"/>
      <c r="J100" s="19" t="n"/>
    </row>
    <row r="101">
      <c r="A101" s="19" t="n"/>
      <c r="B101" s="19" t="n"/>
      <c r="C101" s="19" t="n"/>
      <c r="D101" s="19" t="n"/>
      <c r="E101" s="19" t="n"/>
      <c r="F101" s="19" t="n"/>
      <c r="G101" s="19" t="n"/>
      <c r="H101" s="19" t="n"/>
      <c r="I101" s="19" t="n"/>
      <c r="J101" s="19" t="n"/>
    </row>
    <row r="102">
      <c r="A102" s="19" t="n"/>
      <c r="B102" s="19" t="n"/>
      <c r="C102" s="19" t="n"/>
      <c r="D102" s="19" t="n"/>
      <c r="E102" s="19" t="n"/>
      <c r="F102" s="19" t="n"/>
      <c r="G102" s="19" t="n"/>
      <c r="H102" s="19" t="n"/>
      <c r="I102" s="19" t="n"/>
      <c r="J102" s="19" t="n"/>
    </row>
    <row r="103">
      <c r="A103" s="19" t="n"/>
      <c r="B103" s="19" t="n"/>
      <c r="C103" s="19" t="n"/>
      <c r="D103" s="19" t="n"/>
      <c r="E103" s="19" t="n"/>
      <c r="F103" s="19" t="n"/>
      <c r="G103" s="19" t="n"/>
      <c r="H103" s="19" t="n"/>
      <c r="I103" s="19" t="n"/>
      <c r="J103" s="19" t="n"/>
    </row>
    <row r="104">
      <c r="A104" s="19" t="n"/>
      <c r="B104" s="19" t="n"/>
      <c r="C104" s="19" t="n"/>
      <c r="D104" s="19" t="n"/>
      <c r="E104" s="19" t="n"/>
      <c r="F104" s="19" t="n"/>
      <c r="G104" s="19" t="n"/>
      <c r="H104" s="19" t="n"/>
      <c r="I104" s="19" t="n"/>
      <c r="J104" s="19" t="n"/>
    </row>
    <row r="105">
      <c r="A105" s="19" t="n"/>
      <c r="B105" s="19" t="n"/>
      <c r="C105" s="19" t="n"/>
      <c r="D105" s="19" t="n"/>
      <c r="E105" s="19" t="n"/>
      <c r="F105" s="19" t="n"/>
      <c r="G105" s="19" t="n"/>
      <c r="H105" s="19" t="n"/>
      <c r="I105" s="19" t="n"/>
      <c r="J105" s="19" t="n"/>
    </row>
    <row r="106">
      <c r="A106" s="19" t="n"/>
      <c r="B106" s="19" t="n"/>
      <c r="C106" s="19" t="n"/>
      <c r="D106" s="19" t="n"/>
      <c r="E106" s="19" t="n"/>
      <c r="F106" s="19" t="n"/>
      <c r="G106" s="19" t="n"/>
      <c r="H106" s="19" t="n"/>
      <c r="I106" s="19" t="n"/>
      <c r="J106" s="19" t="n"/>
    </row>
    <row r="107">
      <c r="A107" s="19" t="n"/>
      <c r="B107" s="19" t="n"/>
      <c r="C107" s="19" t="n"/>
      <c r="D107" s="19" t="n"/>
      <c r="E107" s="19" t="n"/>
      <c r="F107" s="19" t="n"/>
      <c r="G107" s="19" t="n"/>
      <c r="H107" s="19" t="n"/>
      <c r="I107" s="19" t="n"/>
      <c r="J107" s="19" t="n"/>
    </row>
    <row r="108">
      <c r="A108" s="19" t="n"/>
      <c r="B108" s="19" t="n"/>
      <c r="C108" s="19" t="n"/>
      <c r="D108" s="19" t="n"/>
      <c r="E108" s="19" t="n"/>
      <c r="F108" s="19" t="n"/>
      <c r="G108" s="19" t="n"/>
      <c r="H108" s="19" t="n"/>
      <c r="I108" s="19" t="n"/>
      <c r="J108" s="19" t="n"/>
    </row>
    <row r="109">
      <c r="A109" s="19" t="n"/>
      <c r="B109" s="19" t="n"/>
      <c r="C109" s="19" t="n"/>
      <c r="D109" s="19" t="n"/>
      <c r="E109" s="19" t="n"/>
      <c r="F109" s="19" t="n"/>
      <c r="G109" s="19" t="n"/>
      <c r="H109" s="19" t="n"/>
      <c r="I109" s="19" t="n"/>
      <c r="J109" s="19" t="n"/>
    </row>
    <row r="110">
      <c r="A110" s="19" t="n"/>
      <c r="B110" s="19" t="n"/>
      <c r="C110" s="19" t="n"/>
      <c r="D110" s="19" t="n"/>
      <c r="E110" s="19" t="n"/>
      <c r="F110" s="19" t="n"/>
      <c r="G110" s="19" t="n"/>
      <c r="H110" s="19" t="n"/>
      <c r="I110" s="19" t="n"/>
      <c r="J110" s="19" t="n"/>
    </row>
    <row r="111">
      <c r="A111" s="19" t="n"/>
      <c r="B111" s="19" t="n"/>
      <c r="C111" s="19" t="n"/>
      <c r="D111" s="19" t="n"/>
      <c r="E111" s="19" t="n"/>
      <c r="F111" s="19" t="n"/>
      <c r="G111" s="19" t="n"/>
      <c r="H111" s="19" t="n"/>
      <c r="I111" s="19" t="n"/>
      <c r="J111" s="19" t="n"/>
    </row>
    <row r="112">
      <c r="A112" s="19" t="n"/>
      <c r="B112" s="19" t="n"/>
      <c r="C112" s="19" t="n"/>
      <c r="D112" s="19" t="n"/>
      <c r="E112" s="19" t="n"/>
      <c r="F112" s="19" t="n"/>
      <c r="G112" s="19" t="n"/>
      <c r="H112" s="19" t="n"/>
      <c r="I112" s="19" t="n"/>
      <c r="J112" s="19" t="n"/>
    </row>
    <row r="113">
      <c r="A113" s="19" t="n"/>
      <c r="B113" s="19" t="n"/>
      <c r="C113" s="19" t="n"/>
      <c r="D113" s="19" t="n"/>
      <c r="E113" s="19" t="n"/>
      <c r="F113" s="19" t="n"/>
      <c r="G113" s="19" t="n"/>
      <c r="H113" s="19" t="n"/>
      <c r="I113" s="19" t="n"/>
      <c r="J113" s="19" t="n"/>
    </row>
    <row r="114">
      <c r="A114" s="19" t="n"/>
      <c r="B114" s="19" t="n"/>
      <c r="C114" s="19" t="n"/>
      <c r="D114" s="19" t="n"/>
      <c r="E114" s="19" t="n"/>
      <c r="F114" s="19" t="n"/>
      <c r="G114" s="19" t="n"/>
      <c r="H114" s="19" t="n"/>
      <c r="I114" s="19" t="n"/>
      <c r="J114" s="19" t="n"/>
    </row>
    <row r="115">
      <c r="A115" s="19" t="n"/>
      <c r="B115" s="19" t="n"/>
      <c r="C115" s="19" t="n"/>
      <c r="D115" s="19" t="n"/>
      <c r="E115" s="19" t="n"/>
      <c r="F115" s="19" t="n"/>
      <c r="G115" s="19" t="n"/>
      <c r="H115" s="19" t="n"/>
      <c r="I115" s="19" t="n"/>
      <c r="J115" s="19" t="n"/>
    </row>
    <row r="116">
      <c r="A116" s="19" t="n"/>
      <c r="B116" s="19" t="n"/>
      <c r="C116" s="19" t="n"/>
      <c r="D116" s="19" t="n"/>
      <c r="E116" s="19" t="n"/>
      <c r="F116" s="19" t="n"/>
      <c r="G116" s="19" t="n"/>
      <c r="H116" s="19" t="n"/>
      <c r="I116" s="19" t="n"/>
      <c r="J116" s="19" t="n"/>
    </row>
    <row r="117">
      <c r="A117" s="19" t="n"/>
      <c r="B117" s="19" t="n"/>
      <c r="C117" s="19" t="n"/>
      <c r="D117" s="19" t="n"/>
      <c r="E117" s="19" t="n"/>
      <c r="F117" s="19" t="n"/>
      <c r="G117" s="19" t="n"/>
      <c r="H117" s="19" t="n"/>
      <c r="I117" s="19" t="n"/>
      <c r="J117" s="19" t="n"/>
    </row>
    <row r="118">
      <c r="A118" s="19" t="n"/>
      <c r="B118" s="19" t="n"/>
      <c r="C118" s="19" t="n"/>
      <c r="D118" s="19" t="n"/>
      <c r="E118" s="19" t="n"/>
      <c r="F118" s="19" t="n"/>
      <c r="G118" s="19" t="n"/>
      <c r="H118" s="19" t="n"/>
      <c r="I118" s="19" t="n"/>
      <c r="J118" s="19" t="n"/>
    </row>
    <row r="119">
      <c r="A119" s="19" t="n"/>
      <c r="B119" s="19" t="n"/>
      <c r="C119" s="19" t="n"/>
      <c r="D119" s="19" t="n"/>
      <c r="E119" s="19" t="n"/>
      <c r="F119" s="19" t="n"/>
      <c r="G119" s="19" t="n"/>
      <c r="H119" s="19" t="n"/>
      <c r="I119" s="19" t="n"/>
      <c r="J119" s="19" t="n"/>
    </row>
    <row r="120">
      <c r="A120" s="19" t="n"/>
      <c r="B120" s="19" t="n"/>
      <c r="C120" s="19" t="n"/>
      <c r="D120" s="19" t="n"/>
      <c r="E120" s="19" t="n"/>
      <c r="F120" s="19" t="n"/>
      <c r="G120" s="19" t="n"/>
      <c r="H120" s="19" t="n"/>
      <c r="I120" s="19" t="n"/>
      <c r="J120" s="19" t="n"/>
    </row>
  </sheetData>
  <mergeCells count="2">
    <mergeCell ref="A1:J1"/>
    <mergeCell ref="A2:J2"/>
  </mergeCells>
  <dataValidations count="3">
    <dataValidation sqref="C5:C120" showDropDown="0" showInputMessage="0" showErrorMessage="0" allowBlank="0" type="list">
      <formula1>"Photo,Video,Screenshot,Serial Log,HA Screenshot,ESPHome Log,Notes,Other"</formula1>
    </dataValidation>
    <dataValidation sqref="D5:D120" showDropDown="0" showInputMessage="0" showErrorMessage="0" allowBlank="0" type="list">
      <formula1>"Yes,No,N/A"</formula1>
    </dataValidation>
    <dataValidation sqref="G5:G120" showDropDown="0" showInputMessage="0" showErrorMessage="0" allowBlank="0" type="list">
      <formula1>"PENDING,PASS,FAIL,N/A,RETEST REQUIRED,BLOCKED"</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L200"/>
  <sheetViews>
    <sheetView workbookViewId="0">
      <pane ySplit="4" topLeftCell="A5" activePane="bottomLeft" state="frozen"/>
      <selection pane="bottomLeft" activeCell="A1" sqref="A1"/>
    </sheetView>
  </sheetViews>
  <sheetFormatPr baseColWidth="8" defaultRowHeight="15"/>
  <cols>
    <col width="12" customWidth="1" min="1" max="1"/>
    <col width="31" customWidth="1" min="2" max="2"/>
    <col width="10" customWidth="1" min="3" max="3"/>
    <col width="11" customWidth="1" min="4" max="4"/>
    <col width="40" customWidth="1" min="5" max="5"/>
    <col width="32" customWidth="1" min="6" max="6"/>
    <col width="32" customWidth="1" min="7" max="7"/>
    <col width="14" customWidth="1" min="8" max="8"/>
    <col width="13" customWidth="1" min="9" max="9"/>
    <col width="10" customWidth="1" min="10" max="10"/>
    <col width="9" customWidth="1" min="11" max="11"/>
    <col width="13" customWidth="1" min="12" max="12"/>
  </cols>
  <sheetData>
    <row r="1" ht="28" customHeight="1">
      <c r="A1" s="50" t="inlineStr">
        <is>
          <t>Failure Log</t>
        </is>
      </c>
      <c r="B1" s="51" t="n"/>
      <c r="C1" s="51" t="n"/>
      <c r="D1" s="51" t="n"/>
      <c r="E1" s="51" t="n"/>
      <c r="F1" s="51" t="n"/>
      <c r="G1" s="51" t="n"/>
      <c r="H1" s="51" t="n"/>
      <c r="I1" s="51" t="n"/>
      <c r="J1" s="51" t="n"/>
      <c r="K1" s="51" t="n"/>
      <c r="L1" s="51" t="n"/>
    </row>
    <row r="2" ht="36" customHeight="1">
      <c r="A2" s="52" t="inlineStr">
        <is>
          <t>Every FAIL/BLOCKED/RETEST REQUIRED item should have a row here. This is the source for AI review.</t>
        </is>
      </c>
      <c r="B2" s="53" t="n"/>
      <c r="C2" s="53" t="n"/>
      <c r="D2" s="53" t="n"/>
      <c r="E2" s="53" t="n"/>
      <c r="F2" s="53" t="n"/>
      <c r="G2" s="53" t="n"/>
      <c r="H2" s="53" t="n"/>
      <c r="I2" s="53" t="n"/>
      <c r="J2" s="53" t="n"/>
      <c r="K2" s="53" t="n"/>
      <c r="L2" s="53" t="n"/>
    </row>
    <row r="4" ht="36" customHeight="1">
      <c r="A4" s="42" t="inlineStr">
        <is>
          <t>Failure ID</t>
        </is>
      </c>
      <c r="B4" s="42" t="inlineStr">
        <is>
          <t>Stage/Test</t>
        </is>
      </c>
      <c r="C4" s="42" t="inlineStr">
        <is>
          <t>Severity</t>
        </is>
      </c>
      <c r="D4" s="42" t="inlineStr">
        <is>
          <t>Blocking?</t>
        </is>
      </c>
      <c r="E4" s="42" t="inlineStr">
        <is>
          <t>Observed Behavior</t>
        </is>
      </c>
      <c r="F4" s="42" t="inlineStr">
        <is>
          <t>Expected Behavior</t>
        </is>
      </c>
      <c r="G4" s="42" t="inlineStr">
        <is>
          <t>Steps to Reproduce</t>
        </is>
      </c>
      <c r="H4" s="42" t="inlineStr">
        <is>
          <t>Evidence Ref</t>
        </is>
      </c>
      <c r="I4" s="42" t="inlineStr">
        <is>
          <t>Likely Area</t>
        </is>
      </c>
      <c r="J4" s="42" t="inlineStr">
        <is>
          <t>Owner</t>
        </is>
      </c>
      <c r="K4" s="42" t="inlineStr">
        <is>
          <t>Status</t>
        </is>
      </c>
      <c r="L4" s="42" t="inlineStr">
        <is>
          <t>Next Action</t>
        </is>
      </c>
    </row>
    <row r="5">
      <c r="A5" s="54" t="inlineStr">
        <is>
          <t>F-001</t>
        </is>
      </c>
      <c r="B5" s="44" t="inlineStr">
        <is>
          <t>Example: Long press isolation</t>
        </is>
      </c>
      <c r="C5" s="60" t="inlineStr">
        <is>
          <t>Critical</t>
        </is>
      </c>
      <c r="D5" s="44" t="inlineStr">
        <is>
          <t>Yes</t>
        </is>
      </c>
      <c r="E5" s="44" t="inlineStr">
        <is>
          <t>Light toggled before Theme Selector opened</t>
        </is>
      </c>
      <c r="F5" s="44" t="inlineStr">
        <is>
          <t>Long press opens selector only</t>
        </is>
      </c>
      <c r="G5" s="44" t="inlineStr">
        <is>
          <t>Hold knob for 2s on Power page</t>
        </is>
      </c>
      <c r="H5" s="44" t="inlineStr">
        <is>
          <t>EV-006</t>
        </is>
      </c>
      <c r="I5" s="44" t="inlineStr">
        <is>
          <t>Firmware</t>
        </is>
      </c>
      <c r="J5" s="44" t="inlineStr">
        <is>
          <t>Firmware</t>
        </is>
      </c>
      <c r="K5" s="55" t="inlineStr">
        <is>
          <t>PENDING</t>
        </is>
      </c>
      <c r="L5" s="44" t="inlineStr">
        <is>
          <t>Open fix PR</t>
        </is>
      </c>
    </row>
    <row r="6">
      <c r="A6" s="19" t="n"/>
      <c r="B6" s="19" t="n"/>
      <c r="C6" s="19" t="n"/>
      <c r="D6" s="19" t="n"/>
      <c r="E6" s="19" t="n"/>
      <c r="F6" s="19" t="n"/>
      <c r="G6" s="19" t="n"/>
      <c r="H6" s="19" t="n"/>
      <c r="I6" s="19" t="n"/>
      <c r="J6" s="19" t="n"/>
      <c r="K6" s="19" t="n"/>
      <c r="L6" s="19" t="n"/>
    </row>
    <row r="7">
      <c r="A7" s="19" t="n"/>
      <c r="B7" s="19" t="n"/>
      <c r="C7" s="19" t="n"/>
      <c r="D7" s="19" t="n"/>
      <c r="E7" s="19" t="n"/>
      <c r="F7" s="19" t="n"/>
      <c r="G7" s="19" t="n"/>
      <c r="H7" s="19" t="n"/>
      <c r="I7" s="19" t="n"/>
      <c r="J7" s="19" t="n"/>
      <c r="K7" s="19" t="n"/>
      <c r="L7" s="19" t="n"/>
    </row>
    <row r="8">
      <c r="A8" s="19" t="n"/>
      <c r="B8" s="19" t="n"/>
      <c r="C8" s="19" t="n"/>
      <c r="D8" s="19" t="n"/>
      <c r="E8" s="19" t="n"/>
      <c r="F8" s="19" t="n"/>
      <c r="G8" s="19" t="n"/>
      <c r="H8" s="19" t="n"/>
      <c r="I8" s="19" t="n"/>
      <c r="J8" s="19" t="n"/>
      <c r="K8" s="19" t="n"/>
      <c r="L8" s="19" t="n"/>
    </row>
    <row r="9">
      <c r="A9" s="19" t="n"/>
      <c r="B9" s="19" t="n"/>
      <c r="C9" s="19" t="n"/>
      <c r="D9" s="19" t="n"/>
      <c r="E9" s="19" t="n"/>
      <c r="F9" s="19" t="n"/>
      <c r="G9" s="19" t="n"/>
      <c r="H9" s="19" t="n"/>
      <c r="I9" s="19" t="n"/>
      <c r="J9" s="19" t="n"/>
      <c r="K9" s="19" t="n"/>
      <c r="L9" s="19" t="n"/>
    </row>
    <row r="10">
      <c r="A10" s="19" t="n"/>
      <c r="B10" s="19" t="n"/>
      <c r="C10" s="19" t="n"/>
      <c r="D10" s="19" t="n"/>
      <c r="E10" s="19" t="n"/>
      <c r="F10" s="19" t="n"/>
      <c r="G10" s="19" t="n"/>
      <c r="H10" s="19" t="n"/>
      <c r="I10" s="19" t="n"/>
      <c r="J10" s="19" t="n"/>
      <c r="K10" s="19" t="n"/>
      <c r="L10" s="19" t="n"/>
    </row>
    <row r="11">
      <c r="A11" s="19" t="n"/>
      <c r="B11" s="19" t="n"/>
      <c r="C11" s="19" t="n"/>
      <c r="D11" s="19" t="n"/>
      <c r="E11" s="19" t="n"/>
      <c r="F11" s="19" t="n"/>
      <c r="G11" s="19" t="n"/>
      <c r="H11" s="19" t="n"/>
      <c r="I11" s="19" t="n"/>
      <c r="J11" s="19" t="n"/>
      <c r="K11" s="19" t="n"/>
      <c r="L11" s="19" t="n"/>
    </row>
    <row r="12">
      <c r="A12" s="19" t="n"/>
      <c r="B12" s="19" t="n"/>
      <c r="C12" s="19" t="n"/>
      <c r="D12" s="19" t="n"/>
      <c r="E12" s="19" t="n"/>
      <c r="F12" s="19" t="n"/>
      <c r="G12" s="19" t="n"/>
      <c r="H12" s="19" t="n"/>
      <c r="I12" s="19" t="n"/>
      <c r="J12" s="19" t="n"/>
      <c r="K12" s="19" t="n"/>
      <c r="L12" s="19" t="n"/>
    </row>
    <row r="13">
      <c r="A13" s="19" t="n"/>
      <c r="B13" s="19" t="n"/>
      <c r="C13" s="19" t="n"/>
      <c r="D13" s="19" t="n"/>
      <c r="E13" s="19" t="n"/>
      <c r="F13" s="19" t="n"/>
      <c r="G13" s="19" t="n"/>
      <c r="H13" s="19" t="n"/>
      <c r="I13" s="19" t="n"/>
      <c r="J13" s="19" t="n"/>
      <c r="K13" s="19" t="n"/>
      <c r="L13" s="19" t="n"/>
    </row>
    <row r="14">
      <c r="A14" s="19" t="n"/>
      <c r="B14" s="19" t="n"/>
      <c r="C14" s="19" t="n"/>
      <c r="D14" s="19" t="n"/>
      <c r="E14" s="19" t="n"/>
      <c r="F14" s="19" t="n"/>
      <c r="G14" s="19" t="n"/>
      <c r="H14" s="19" t="n"/>
      <c r="I14" s="19" t="n"/>
      <c r="J14" s="19" t="n"/>
      <c r="K14" s="19" t="n"/>
      <c r="L14" s="19" t="n"/>
    </row>
    <row r="15">
      <c r="A15" s="19" t="n"/>
      <c r="B15" s="19" t="n"/>
      <c r="C15" s="19" t="n"/>
      <c r="D15" s="19" t="n"/>
      <c r="E15" s="19" t="n"/>
      <c r="F15" s="19" t="n"/>
      <c r="G15" s="19" t="n"/>
      <c r="H15" s="19" t="n"/>
      <c r="I15" s="19" t="n"/>
      <c r="J15" s="19" t="n"/>
      <c r="K15" s="19" t="n"/>
      <c r="L15" s="19" t="n"/>
    </row>
    <row r="16">
      <c r="A16" s="19" t="n"/>
      <c r="B16" s="19" t="n"/>
      <c r="C16" s="19" t="n"/>
      <c r="D16" s="19" t="n"/>
      <c r="E16" s="19" t="n"/>
      <c r="F16" s="19" t="n"/>
      <c r="G16" s="19" t="n"/>
      <c r="H16" s="19" t="n"/>
      <c r="I16" s="19" t="n"/>
      <c r="J16" s="19" t="n"/>
      <c r="K16" s="19" t="n"/>
      <c r="L16" s="19" t="n"/>
    </row>
    <row r="17">
      <c r="A17" s="19" t="n"/>
      <c r="B17" s="19" t="n"/>
      <c r="C17" s="19" t="n"/>
      <c r="D17" s="19" t="n"/>
      <c r="E17" s="19" t="n"/>
      <c r="F17" s="19" t="n"/>
      <c r="G17" s="19" t="n"/>
      <c r="H17" s="19" t="n"/>
      <c r="I17" s="19" t="n"/>
      <c r="J17" s="19" t="n"/>
      <c r="K17" s="19" t="n"/>
      <c r="L17" s="19" t="n"/>
    </row>
    <row r="18">
      <c r="A18" s="19" t="n"/>
      <c r="B18" s="19" t="n"/>
      <c r="C18" s="19" t="n"/>
      <c r="D18" s="19" t="n"/>
      <c r="E18" s="19" t="n"/>
      <c r="F18" s="19" t="n"/>
      <c r="G18" s="19" t="n"/>
      <c r="H18" s="19" t="n"/>
      <c r="I18" s="19" t="n"/>
      <c r="J18" s="19" t="n"/>
      <c r="K18" s="19" t="n"/>
      <c r="L18" s="19" t="n"/>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19" t="n"/>
      <c r="I20" s="19" t="n"/>
      <c r="J20" s="19" t="n"/>
      <c r="K20" s="19" t="n"/>
      <c r="L20" s="19" t="n"/>
    </row>
    <row r="21">
      <c r="A21" s="19" t="n"/>
      <c r="B21" s="19" t="n"/>
      <c r="C21" s="19" t="n"/>
      <c r="D21" s="19" t="n"/>
      <c r="E21" s="19" t="n"/>
      <c r="F21" s="19" t="n"/>
      <c r="G21" s="19" t="n"/>
      <c r="H21" s="19" t="n"/>
      <c r="I21" s="19" t="n"/>
      <c r="J21" s="19" t="n"/>
      <c r="K21" s="19" t="n"/>
      <c r="L21" s="19" t="n"/>
    </row>
    <row r="22">
      <c r="A22" s="19" t="n"/>
      <c r="B22" s="19" t="n"/>
      <c r="C22" s="19" t="n"/>
      <c r="D22" s="19" t="n"/>
      <c r="E22" s="19" t="n"/>
      <c r="F22" s="19" t="n"/>
      <c r="G22" s="19" t="n"/>
      <c r="H22" s="19" t="n"/>
      <c r="I22" s="19" t="n"/>
      <c r="J22" s="19" t="n"/>
      <c r="K22" s="19" t="n"/>
      <c r="L22" s="19" t="n"/>
    </row>
    <row r="23">
      <c r="A23" s="19" t="n"/>
      <c r="B23" s="19" t="n"/>
      <c r="C23" s="19" t="n"/>
      <c r="D23" s="19" t="n"/>
      <c r="E23" s="19" t="n"/>
      <c r="F23" s="19" t="n"/>
      <c r="G23" s="19" t="n"/>
      <c r="H23" s="19" t="n"/>
      <c r="I23" s="19" t="n"/>
      <c r="J23" s="19" t="n"/>
      <c r="K23" s="19" t="n"/>
      <c r="L23" s="19" t="n"/>
    </row>
    <row r="24">
      <c r="A24" s="19" t="n"/>
      <c r="B24" s="19" t="n"/>
      <c r="C24" s="19" t="n"/>
      <c r="D24" s="19" t="n"/>
      <c r="E24" s="19" t="n"/>
      <c r="F24" s="19" t="n"/>
      <c r="G24" s="19" t="n"/>
      <c r="H24" s="19" t="n"/>
      <c r="I24" s="19" t="n"/>
      <c r="J24" s="19" t="n"/>
      <c r="K24" s="19" t="n"/>
      <c r="L24" s="19" t="n"/>
    </row>
    <row r="25">
      <c r="A25" s="19" t="n"/>
      <c r="B25" s="19" t="n"/>
      <c r="C25" s="19" t="n"/>
      <c r="D25" s="19" t="n"/>
      <c r="E25" s="19" t="n"/>
      <c r="F25" s="19" t="n"/>
      <c r="G25" s="19" t="n"/>
      <c r="H25" s="19" t="n"/>
      <c r="I25" s="19" t="n"/>
      <c r="J25" s="19" t="n"/>
      <c r="K25" s="19" t="n"/>
      <c r="L25" s="19" t="n"/>
    </row>
    <row r="26">
      <c r="A26" s="19" t="n"/>
      <c r="B26" s="19" t="n"/>
      <c r="C26" s="19" t="n"/>
      <c r="D26" s="19" t="n"/>
      <c r="E26" s="19" t="n"/>
      <c r="F26" s="19" t="n"/>
      <c r="G26" s="19" t="n"/>
      <c r="H26" s="19" t="n"/>
      <c r="I26" s="19" t="n"/>
      <c r="J26" s="19" t="n"/>
      <c r="K26" s="19" t="n"/>
      <c r="L26" s="19" t="n"/>
    </row>
    <row r="27">
      <c r="A27" s="19" t="n"/>
      <c r="B27" s="19" t="n"/>
      <c r="C27" s="19" t="n"/>
      <c r="D27" s="19" t="n"/>
      <c r="E27" s="19" t="n"/>
      <c r="F27" s="19" t="n"/>
      <c r="G27" s="19" t="n"/>
      <c r="H27" s="19" t="n"/>
      <c r="I27" s="19" t="n"/>
      <c r="J27" s="19" t="n"/>
      <c r="K27" s="19" t="n"/>
      <c r="L27" s="19" t="n"/>
    </row>
    <row r="28">
      <c r="A28" s="19" t="n"/>
      <c r="B28" s="19" t="n"/>
      <c r="C28" s="19" t="n"/>
      <c r="D28" s="19" t="n"/>
      <c r="E28" s="19" t="n"/>
      <c r="F28" s="19" t="n"/>
      <c r="G28" s="19" t="n"/>
      <c r="H28" s="19" t="n"/>
      <c r="I28" s="19" t="n"/>
      <c r="J28" s="19" t="n"/>
      <c r="K28" s="19" t="n"/>
      <c r="L28" s="19" t="n"/>
    </row>
    <row r="29">
      <c r="A29" s="19" t="n"/>
      <c r="B29" s="19" t="n"/>
      <c r="C29" s="19" t="n"/>
      <c r="D29" s="19" t="n"/>
      <c r="E29" s="19" t="n"/>
      <c r="F29" s="19" t="n"/>
      <c r="G29" s="19" t="n"/>
      <c r="H29" s="19" t="n"/>
      <c r="I29" s="19" t="n"/>
      <c r="J29" s="19" t="n"/>
      <c r="K29" s="19" t="n"/>
      <c r="L29" s="19" t="n"/>
    </row>
    <row r="30">
      <c r="A30" s="19" t="n"/>
      <c r="B30" s="19" t="n"/>
      <c r="C30" s="19" t="n"/>
      <c r="D30" s="19" t="n"/>
      <c r="E30" s="19" t="n"/>
      <c r="F30" s="19" t="n"/>
      <c r="G30" s="19" t="n"/>
      <c r="H30" s="19" t="n"/>
      <c r="I30" s="19" t="n"/>
      <c r="J30" s="19" t="n"/>
      <c r="K30" s="19" t="n"/>
      <c r="L30" s="19" t="n"/>
    </row>
    <row r="31">
      <c r="A31" s="19" t="n"/>
      <c r="B31" s="19" t="n"/>
      <c r="C31" s="19" t="n"/>
      <c r="D31" s="19" t="n"/>
      <c r="E31" s="19" t="n"/>
      <c r="F31" s="19" t="n"/>
      <c r="G31" s="19" t="n"/>
      <c r="H31" s="19" t="n"/>
      <c r="I31" s="19" t="n"/>
      <c r="J31" s="19" t="n"/>
      <c r="K31" s="19" t="n"/>
      <c r="L31" s="19" t="n"/>
    </row>
    <row r="32">
      <c r="A32" s="19" t="n"/>
      <c r="B32" s="19" t="n"/>
      <c r="C32" s="19" t="n"/>
      <c r="D32" s="19" t="n"/>
      <c r="E32" s="19" t="n"/>
      <c r="F32" s="19" t="n"/>
      <c r="G32" s="19" t="n"/>
      <c r="H32" s="19" t="n"/>
      <c r="I32" s="19" t="n"/>
      <c r="J32" s="19" t="n"/>
      <c r="K32" s="19" t="n"/>
      <c r="L32" s="19" t="n"/>
    </row>
    <row r="33">
      <c r="A33" s="19" t="n"/>
      <c r="B33" s="19" t="n"/>
      <c r="C33" s="19" t="n"/>
      <c r="D33" s="19" t="n"/>
      <c r="E33" s="19" t="n"/>
      <c r="F33" s="19" t="n"/>
      <c r="G33" s="19" t="n"/>
      <c r="H33" s="19" t="n"/>
      <c r="I33" s="19" t="n"/>
      <c r="J33" s="19" t="n"/>
      <c r="K33" s="19" t="n"/>
      <c r="L33" s="19" t="n"/>
    </row>
    <row r="34">
      <c r="A34" s="19" t="n"/>
      <c r="B34" s="19" t="n"/>
      <c r="C34" s="19" t="n"/>
      <c r="D34" s="19" t="n"/>
      <c r="E34" s="19" t="n"/>
      <c r="F34" s="19" t="n"/>
      <c r="G34" s="19" t="n"/>
      <c r="H34" s="19" t="n"/>
      <c r="I34" s="19" t="n"/>
      <c r="J34" s="19" t="n"/>
      <c r="K34" s="19" t="n"/>
      <c r="L34" s="19" t="n"/>
    </row>
    <row r="35">
      <c r="A35" s="19" t="n"/>
      <c r="B35" s="19" t="n"/>
      <c r="C35" s="19" t="n"/>
      <c r="D35" s="19" t="n"/>
      <c r="E35" s="19" t="n"/>
      <c r="F35" s="19" t="n"/>
      <c r="G35" s="19" t="n"/>
      <c r="H35" s="19" t="n"/>
      <c r="I35" s="19" t="n"/>
      <c r="J35" s="19" t="n"/>
      <c r="K35" s="19" t="n"/>
      <c r="L35" s="19" t="n"/>
    </row>
    <row r="36">
      <c r="A36" s="19" t="n"/>
      <c r="B36" s="19" t="n"/>
      <c r="C36" s="19" t="n"/>
      <c r="D36" s="19" t="n"/>
      <c r="E36" s="19" t="n"/>
      <c r="F36" s="19" t="n"/>
      <c r="G36" s="19" t="n"/>
      <c r="H36" s="19" t="n"/>
      <c r="I36" s="19" t="n"/>
      <c r="J36" s="19" t="n"/>
      <c r="K36" s="19" t="n"/>
      <c r="L36" s="19" t="n"/>
    </row>
    <row r="37">
      <c r="A37" s="19" t="n"/>
      <c r="B37" s="19" t="n"/>
      <c r="C37" s="19" t="n"/>
      <c r="D37" s="19" t="n"/>
      <c r="E37" s="19" t="n"/>
      <c r="F37" s="19" t="n"/>
      <c r="G37" s="19" t="n"/>
      <c r="H37" s="19" t="n"/>
      <c r="I37" s="19" t="n"/>
      <c r="J37" s="19" t="n"/>
      <c r="K37" s="19" t="n"/>
      <c r="L37" s="19" t="n"/>
    </row>
    <row r="38">
      <c r="A38" s="19" t="n"/>
      <c r="B38" s="19" t="n"/>
      <c r="C38" s="19" t="n"/>
      <c r="D38" s="19" t="n"/>
      <c r="E38" s="19" t="n"/>
      <c r="F38" s="19" t="n"/>
      <c r="G38" s="19" t="n"/>
      <c r="H38" s="19" t="n"/>
      <c r="I38" s="19" t="n"/>
      <c r="J38" s="19" t="n"/>
      <c r="K38" s="19" t="n"/>
      <c r="L38" s="19" t="n"/>
    </row>
    <row r="39">
      <c r="A39" s="19" t="n"/>
      <c r="B39" s="19" t="n"/>
      <c r="C39" s="19" t="n"/>
      <c r="D39" s="19" t="n"/>
      <c r="E39" s="19" t="n"/>
      <c r="F39" s="19" t="n"/>
      <c r="G39" s="19" t="n"/>
      <c r="H39" s="19" t="n"/>
      <c r="I39" s="19" t="n"/>
      <c r="J39" s="19" t="n"/>
      <c r="K39" s="19" t="n"/>
      <c r="L39" s="19" t="n"/>
    </row>
    <row r="40">
      <c r="A40" s="19" t="n"/>
      <c r="B40" s="19" t="n"/>
      <c r="C40" s="19" t="n"/>
      <c r="D40" s="19" t="n"/>
      <c r="E40" s="19" t="n"/>
      <c r="F40" s="19" t="n"/>
      <c r="G40" s="19" t="n"/>
      <c r="H40" s="19" t="n"/>
      <c r="I40" s="19" t="n"/>
      <c r="J40" s="19" t="n"/>
      <c r="K40" s="19" t="n"/>
      <c r="L40" s="19" t="n"/>
    </row>
    <row r="41">
      <c r="A41" s="19" t="n"/>
      <c r="B41" s="19" t="n"/>
      <c r="C41" s="19" t="n"/>
      <c r="D41" s="19" t="n"/>
      <c r="E41" s="19" t="n"/>
      <c r="F41" s="19" t="n"/>
      <c r="G41" s="19" t="n"/>
      <c r="H41" s="19" t="n"/>
      <c r="I41" s="19" t="n"/>
      <c r="J41" s="19" t="n"/>
      <c r="K41" s="19" t="n"/>
      <c r="L41" s="19" t="n"/>
    </row>
    <row r="42">
      <c r="A42" s="19" t="n"/>
      <c r="B42" s="19" t="n"/>
      <c r="C42" s="19" t="n"/>
      <c r="D42" s="19" t="n"/>
      <c r="E42" s="19" t="n"/>
      <c r="F42" s="19" t="n"/>
      <c r="G42" s="19" t="n"/>
      <c r="H42" s="19" t="n"/>
      <c r="I42" s="19" t="n"/>
      <c r="J42" s="19" t="n"/>
      <c r="K42" s="19" t="n"/>
      <c r="L42" s="19" t="n"/>
    </row>
    <row r="43">
      <c r="A43" s="19" t="n"/>
      <c r="B43" s="19" t="n"/>
      <c r="C43" s="19" t="n"/>
      <c r="D43" s="19" t="n"/>
      <c r="E43" s="19" t="n"/>
      <c r="F43" s="19" t="n"/>
      <c r="G43" s="19" t="n"/>
      <c r="H43" s="19" t="n"/>
      <c r="I43" s="19" t="n"/>
      <c r="J43" s="19" t="n"/>
      <c r="K43" s="19" t="n"/>
      <c r="L43" s="19" t="n"/>
    </row>
    <row r="44">
      <c r="A44" s="19" t="n"/>
      <c r="B44" s="19" t="n"/>
      <c r="C44" s="19" t="n"/>
      <c r="D44" s="19" t="n"/>
      <c r="E44" s="19" t="n"/>
      <c r="F44" s="19" t="n"/>
      <c r="G44" s="19" t="n"/>
      <c r="H44" s="19" t="n"/>
      <c r="I44" s="19" t="n"/>
      <c r="J44" s="19" t="n"/>
      <c r="K44" s="19" t="n"/>
      <c r="L44" s="19" t="n"/>
    </row>
    <row r="45">
      <c r="A45" s="19" t="n"/>
      <c r="B45" s="19" t="n"/>
      <c r="C45" s="19" t="n"/>
      <c r="D45" s="19" t="n"/>
      <c r="E45" s="19" t="n"/>
      <c r="F45" s="19" t="n"/>
      <c r="G45" s="19" t="n"/>
      <c r="H45" s="19" t="n"/>
      <c r="I45" s="19" t="n"/>
      <c r="J45" s="19" t="n"/>
      <c r="K45" s="19" t="n"/>
      <c r="L45" s="19" t="n"/>
    </row>
    <row r="46">
      <c r="A46" s="19" t="n"/>
      <c r="B46" s="19" t="n"/>
      <c r="C46" s="19" t="n"/>
      <c r="D46" s="19" t="n"/>
      <c r="E46" s="19" t="n"/>
      <c r="F46" s="19" t="n"/>
      <c r="G46" s="19" t="n"/>
      <c r="H46" s="19" t="n"/>
      <c r="I46" s="19" t="n"/>
      <c r="J46" s="19" t="n"/>
      <c r="K46" s="19" t="n"/>
      <c r="L46" s="19" t="n"/>
    </row>
    <row r="47">
      <c r="A47" s="19" t="n"/>
      <c r="B47" s="19" t="n"/>
      <c r="C47" s="19" t="n"/>
      <c r="D47" s="19" t="n"/>
      <c r="E47" s="19" t="n"/>
      <c r="F47" s="19" t="n"/>
      <c r="G47" s="19" t="n"/>
      <c r="H47" s="19" t="n"/>
      <c r="I47" s="19" t="n"/>
      <c r="J47" s="19" t="n"/>
      <c r="K47" s="19" t="n"/>
      <c r="L47" s="19" t="n"/>
    </row>
    <row r="48">
      <c r="A48" s="19" t="n"/>
      <c r="B48" s="19" t="n"/>
      <c r="C48" s="19" t="n"/>
      <c r="D48" s="19" t="n"/>
      <c r="E48" s="19" t="n"/>
      <c r="F48" s="19" t="n"/>
      <c r="G48" s="19" t="n"/>
      <c r="H48" s="19" t="n"/>
      <c r="I48" s="19" t="n"/>
      <c r="J48" s="19" t="n"/>
      <c r="K48" s="19" t="n"/>
      <c r="L48" s="19" t="n"/>
    </row>
    <row r="49">
      <c r="A49" s="19" t="n"/>
      <c r="B49" s="19" t="n"/>
      <c r="C49" s="19" t="n"/>
      <c r="D49" s="19" t="n"/>
      <c r="E49" s="19" t="n"/>
      <c r="F49" s="19" t="n"/>
      <c r="G49" s="19" t="n"/>
      <c r="H49" s="19" t="n"/>
      <c r="I49" s="19" t="n"/>
      <c r="J49" s="19" t="n"/>
      <c r="K49" s="19" t="n"/>
      <c r="L49" s="19" t="n"/>
    </row>
    <row r="50">
      <c r="A50" s="19" t="n"/>
      <c r="B50" s="19" t="n"/>
      <c r="C50" s="19" t="n"/>
      <c r="D50" s="19" t="n"/>
      <c r="E50" s="19" t="n"/>
      <c r="F50" s="19" t="n"/>
      <c r="G50" s="19" t="n"/>
      <c r="H50" s="19" t="n"/>
      <c r="I50" s="19" t="n"/>
      <c r="J50" s="19" t="n"/>
      <c r="K50" s="19" t="n"/>
      <c r="L50" s="19" t="n"/>
    </row>
    <row r="51">
      <c r="A51" s="19" t="n"/>
      <c r="B51" s="19" t="n"/>
      <c r="C51" s="19" t="n"/>
      <c r="D51" s="19" t="n"/>
      <c r="E51" s="19" t="n"/>
      <c r="F51" s="19" t="n"/>
      <c r="G51" s="19" t="n"/>
      <c r="H51" s="19" t="n"/>
      <c r="I51" s="19" t="n"/>
      <c r="J51" s="19" t="n"/>
      <c r="K51" s="19" t="n"/>
      <c r="L51" s="19" t="n"/>
    </row>
    <row r="52">
      <c r="A52" s="19" t="n"/>
      <c r="B52" s="19" t="n"/>
      <c r="C52" s="19" t="n"/>
      <c r="D52" s="19" t="n"/>
      <c r="E52" s="19" t="n"/>
      <c r="F52" s="19" t="n"/>
      <c r="G52" s="19" t="n"/>
      <c r="H52" s="19" t="n"/>
      <c r="I52" s="19" t="n"/>
      <c r="J52" s="19" t="n"/>
      <c r="K52" s="19" t="n"/>
      <c r="L52" s="19" t="n"/>
    </row>
    <row r="53">
      <c r="A53" s="19" t="n"/>
      <c r="B53" s="19" t="n"/>
      <c r="C53" s="19" t="n"/>
      <c r="D53" s="19" t="n"/>
      <c r="E53" s="19" t="n"/>
      <c r="F53" s="19" t="n"/>
      <c r="G53" s="19" t="n"/>
      <c r="H53" s="19" t="n"/>
      <c r="I53" s="19" t="n"/>
      <c r="J53" s="19" t="n"/>
      <c r="K53" s="19" t="n"/>
      <c r="L53" s="19" t="n"/>
    </row>
    <row r="54">
      <c r="A54" s="19" t="n"/>
      <c r="B54" s="19" t="n"/>
      <c r="C54" s="19" t="n"/>
      <c r="D54" s="19" t="n"/>
      <c r="E54" s="19" t="n"/>
      <c r="F54" s="19" t="n"/>
      <c r="G54" s="19" t="n"/>
      <c r="H54" s="19" t="n"/>
      <c r="I54" s="19" t="n"/>
      <c r="J54" s="19" t="n"/>
      <c r="K54" s="19" t="n"/>
      <c r="L54" s="19" t="n"/>
    </row>
    <row r="55">
      <c r="A55" s="19" t="n"/>
      <c r="B55" s="19" t="n"/>
      <c r="C55" s="19" t="n"/>
      <c r="D55" s="19" t="n"/>
      <c r="E55" s="19" t="n"/>
      <c r="F55" s="19" t="n"/>
      <c r="G55" s="19" t="n"/>
      <c r="H55" s="19" t="n"/>
      <c r="I55" s="19" t="n"/>
      <c r="J55" s="19" t="n"/>
      <c r="K55" s="19" t="n"/>
      <c r="L55" s="19" t="n"/>
    </row>
    <row r="56">
      <c r="A56" s="19" t="n"/>
      <c r="B56" s="19" t="n"/>
      <c r="C56" s="19" t="n"/>
      <c r="D56" s="19" t="n"/>
      <c r="E56" s="19" t="n"/>
      <c r="F56" s="19" t="n"/>
      <c r="G56" s="19" t="n"/>
      <c r="H56" s="19" t="n"/>
      <c r="I56" s="19" t="n"/>
      <c r="J56" s="19" t="n"/>
      <c r="K56" s="19" t="n"/>
      <c r="L56" s="19" t="n"/>
    </row>
    <row r="57">
      <c r="A57" s="19" t="n"/>
      <c r="B57" s="19" t="n"/>
      <c r="C57" s="19" t="n"/>
      <c r="D57" s="19" t="n"/>
      <c r="E57" s="19" t="n"/>
      <c r="F57" s="19" t="n"/>
      <c r="G57" s="19" t="n"/>
      <c r="H57" s="19" t="n"/>
      <c r="I57" s="19" t="n"/>
      <c r="J57" s="19" t="n"/>
      <c r="K57" s="19" t="n"/>
      <c r="L57" s="19" t="n"/>
    </row>
    <row r="58">
      <c r="A58" s="19" t="n"/>
      <c r="B58" s="19" t="n"/>
      <c r="C58" s="19" t="n"/>
      <c r="D58" s="19" t="n"/>
      <c r="E58" s="19" t="n"/>
      <c r="F58" s="19" t="n"/>
      <c r="G58" s="19" t="n"/>
      <c r="H58" s="19" t="n"/>
      <c r="I58" s="19" t="n"/>
      <c r="J58" s="19" t="n"/>
      <c r="K58" s="19" t="n"/>
      <c r="L58" s="19" t="n"/>
    </row>
    <row r="59">
      <c r="A59" s="19" t="n"/>
      <c r="B59" s="19" t="n"/>
      <c r="C59" s="19" t="n"/>
      <c r="D59" s="19" t="n"/>
      <c r="E59" s="19" t="n"/>
      <c r="F59" s="19" t="n"/>
      <c r="G59" s="19" t="n"/>
      <c r="H59" s="19" t="n"/>
      <c r="I59" s="19" t="n"/>
      <c r="J59" s="19" t="n"/>
      <c r="K59" s="19" t="n"/>
      <c r="L59" s="19" t="n"/>
    </row>
    <row r="60">
      <c r="A60" s="19" t="n"/>
      <c r="B60" s="19" t="n"/>
      <c r="C60" s="19" t="n"/>
      <c r="D60" s="19" t="n"/>
      <c r="E60" s="19" t="n"/>
      <c r="F60" s="19" t="n"/>
      <c r="G60" s="19" t="n"/>
      <c r="H60" s="19" t="n"/>
      <c r="I60" s="19" t="n"/>
      <c r="J60" s="19" t="n"/>
      <c r="K60" s="19" t="n"/>
      <c r="L60" s="19" t="n"/>
    </row>
    <row r="61">
      <c r="A61" s="19" t="n"/>
      <c r="B61" s="19" t="n"/>
      <c r="C61" s="19" t="n"/>
      <c r="D61" s="19" t="n"/>
      <c r="E61" s="19" t="n"/>
      <c r="F61" s="19" t="n"/>
      <c r="G61" s="19" t="n"/>
      <c r="H61" s="19" t="n"/>
      <c r="I61" s="19" t="n"/>
      <c r="J61" s="19" t="n"/>
      <c r="K61" s="19" t="n"/>
      <c r="L61" s="19" t="n"/>
    </row>
    <row r="62">
      <c r="A62" s="19" t="n"/>
      <c r="B62" s="19" t="n"/>
      <c r="C62" s="19" t="n"/>
      <c r="D62" s="19" t="n"/>
      <c r="E62" s="19" t="n"/>
      <c r="F62" s="19" t="n"/>
      <c r="G62" s="19" t="n"/>
      <c r="H62" s="19" t="n"/>
      <c r="I62" s="19" t="n"/>
      <c r="J62" s="19" t="n"/>
      <c r="K62" s="19" t="n"/>
      <c r="L62" s="19" t="n"/>
    </row>
    <row r="63">
      <c r="A63" s="19" t="n"/>
      <c r="B63" s="19" t="n"/>
      <c r="C63" s="19" t="n"/>
      <c r="D63" s="19" t="n"/>
      <c r="E63" s="19" t="n"/>
      <c r="F63" s="19" t="n"/>
      <c r="G63" s="19" t="n"/>
      <c r="H63" s="19" t="n"/>
      <c r="I63" s="19" t="n"/>
      <c r="J63" s="19" t="n"/>
      <c r="K63" s="19" t="n"/>
      <c r="L63" s="19" t="n"/>
    </row>
    <row r="64">
      <c r="A64" s="19" t="n"/>
      <c r="B64" s="19" t="n"/>
      <c r="C64" s="19" t="n"/>
      <c r="D64" s="19" t="n"/>
      <c r="E64" s="19" t="n"/>
      <c r="F64" s="19" t="n"/>
      <c r="G64" s="19" t="n"/>
      <c r="H64" s="19" t="n"/>
      <c r="I64" s="19" t="n"/>
      <c r="J64" s="19" t="n"/>
      <c r="K64" s="19" t="n"/>
      <c r="L64" s="19" t="n"/>
    </row>
    <row r="65">
      <c r="A65" s="19" t="n"/>
      <c r="B65" s="19" t="n"/>
      <c r="C65" s="19" t="n"/>
      <c r="D65" s="19" t="n"/>
      <c r="E65" s="19" t="n"/>
      <c r="F65" s="19" t="n"/>
      <c r="G65" s="19" t="n"/>
      <c r="H65" s="19" t="n"/>
      <c r="I65" s="19" t="n"/>
      <c r="J65" s="19" t="n"/>
      <c r="K65" s="19" t="n"/>
      <c r="L65" s="19" t="n"/>
    </row>
    <row r="66">
      <c r="A66" s="19" t="n"/>
      <c r="B66" s="19" t="n"/>
      <c r="C66" s="19" t="n"/>
      <c r="D66" s="19" t="n"/>
      <c r="E66" s="19" t="n"/>
      <c r="F66" s="19" t="n"/>
      <c r="G66" s="19" t="n"/>
      <c r="H66" s="19" t="n"/>
      <c r="I66" s="19" t="n"/>
      <c r="J66" s="19" t="n"/>
      <c r="K66" s="19" t="n"/>
      <c r="L66" s="19" t="n"/>
    </row>
    <row r="67">
      <c r="A67" s="19" t="n"/>
      <c r="B67" s="19" t="n"/>
      <c r="C67" s="19" t="n"/>
      <c r="D67" s="19" t="n"/>
      <c r="E67" s="19" t="n"/>
      <c r="F67" s="19" t="n"/>
      <c r="G67" s="19" t="n"/>
      <c r="H67" s="19" t="n"/>
      <c r="I67" s="19" t="n"/>
      <c r="J67" s="19" t="n"/>
      <c r="K67" s="19" t="n"/>
      <c r="L67" s="19" t="n"/>
    </row>
    <row r="68">
      <c r="A68" s="19" t="n"/>
      <c r="B68" s="19" t="n"/>
      <c r="C68" s="19" t="n"/>
      <c r="D68" s="19" t="n"/>
      <c r="E68" s="19" t="n"/>
      <c r="F68" s="19" t="n"/>
      <c r="G68" s="19" t="n"/>
      <c r="H68" s="19" t="n"/>
      <c r="I68" s="19" t="n"/>
      <c r="J68" s="19" t="n"/>
      <c r="K68" s="19" t="n"/>
      <c r="L68" s="19" t="n"/>
    </row>
    <row r="69">
      <c r="A69" s="19" t="n"/>
      <c r="B69" s="19" t="n"/>
      <c r="C69" s="19" t="n"/>
      <c r="D69" s="19" t="n"/>
      <c r="E69" s="19" t="n"/>
      <c r="F69" s="19" t="n"/>
      <c r="G69" s="19" t="n"/>
      <c r="H69" s="19" t="n"/>
      <c r="I69" s="19" t="n"/>
      <c r="J69" s="19" t="n"/>
      <c r="K69" s="19" t="n"/>
      <c r="L69" s="19" t="n"/>
    </row>
    <row r="70">
      <c r="A70" s="19" t="n"/>
      <c r="B70" s="19" t="n"/>
      <c r="C70" s="19" t="n"/>
      <c r="D70" s="19" t="n"/>
      <c r="E70" s="19" t="n"/>
      <c r="F70" s="19" t="n"/>
      <c r="G70" s="19" t="n"/>
      <c r="H70" s="19" t="n"/>
      <c r="I70" s="19" t="n"/>
      <c r="J70" s="19" t="n"/>
      <c r="K70" s="19" t="n"/>
      <c r="L70" s="19" t="n"/>
    </row>
    <row r="71">
      <c r="A71" s="19" t="n"/>
      <c r="B71" s="19" t="n"/>
      <c r="C71" s="19" t="n"/>
      <c r="D71" s="19" t="n"/>
      <c r="E71" s="19" t="n"/>
      <c r="F71" s="19" t="n"/>
      <c r="G71" s="19" t="n"/>
      <c r="H71" s="19" t="n"/>
      <c r="I71" s="19" t="n"/>
      <c r="J71" s="19" t="n"/>
      <c r="K71" s="19" t="n"/>
      <c r="L71" s="19" t="n"/>
    </row>
    <row r="72">
      <c r="A72" s="19" t="n"/>
      <c r="B72" s="19" t="n"/>
      <c r="C72" s="19" t="n"/>
      <c r="D72" s="19" t="n"/>
      <c r="E72" s="19" t="n"/>
      <c r="F72" s="19" t="n"/>
      <c r="G72" s="19" t="n"/>
      <c r="H72" s="19" t="n"/>
      <c r="I72" s="19" t="n"/>
      <c r="J72" s="19" t="n"/>
      <c r="K72" s="19" t="n"/>
      <c r="L72" s="19" t="n"/>
    </row>
    <row r="73">
      <c r="A73" s="19" t="n"/>
      <c r="B73" s="19" t="n"/>
      <c r="C73" s="19" t="n"/>
      <c r="D73" s="19" t="n"/>
      <c r="E73" s="19" t="n"/>
      <c r="F73" s="19" t="n"/>
      <c r="G73" s="19" t="n"/>
      <c r="H73" s="19" t="n"/>
      <c r="I73" s="19" t="n"/>
      <c r="J73" s="19" t="n"/>
      <c r="K73" s="19" t="n"/>
      <c r="L73" s="19" t="n"/>
    </row>
    <row r="74">
      <c r="A74" s="19" t="n"/>
      <c r="B74" s="19" t="n"/>
      <c r="C74" s="19" t="n"/>
      <c r="D74" s="19" t="n"/>
      <c r="E74" s="19" t="n"/>
      <c r="F74" s="19" t="n"/>
      <c r="G74" s="19" t="n"/>
      <c r="H74" s="19" t="n"/>
      <c r="I74" s="19" t="n"/>
      <c r="J74" s="19" t="n"/>
      <c r="K74" s="19" t="n"/>
      <c r="L74" s="19" t="n"/>
    </row>
    <row r="75">
      <c r="A75" s="19" t="n"/>
      <c r="B75" s="19" t="n"/>
      <c r="C75" s="19" t="n"/>
      <c r="D75" s="19" t="n"/>
      <c r="E75" s="19" t="n"/>
      <c r="F75" s="19" t="n"/>
      <c r="G75" s="19" t="n"/>
      <c r="H75" s="19" t="n"/>
      <c r="I75" s="19" t="n"/>
      <c r="J75" s="19" t="n"/>
      <c r="K75" s="19" t="n"/>
      <c r="L75" s="19" t="n"/>
    </row>
    <row r="76">
      <c r="A76" s="19" t="n"/>
      <c r="B76" s="19" t="n"/>
      <c r="C76" s="19" t="n"/>
      <c r="D76" s="19" t="n"/>
      <c r="E76" s="19" t="n"/>
      <c r="F76" s="19" t="n"/>
      <c r="G76" s="19" t="n"/>
      <c r="H76" s="19" t="n"/>
      <c r="I76" s="19" t="n"/>
      <c r="J76" s="19" t="n"/>
      <c r="K76" s="19" t="n"/>
      <c r="L76" s="19" t="n"/>
    </row>
    <row r="77">
      <c r="A77" s="19" t="n"/>
      <c r="B77" s="19" t="n"/>
      <c r="C77" s="19" t="n"/>
      <c r="D77" s="19" t="n"/>
      <c r="E77" s="19" t="n"/>
      <c r="F77" s="19" t="n"/>
      <c r="G77" s="19" t="n"/>
      <c r="H77" s="19" t="n"/>
      <c r="I77" s="19" t="n"/>
      <c r="J77" s="19" t="n"/>
      <c r="K77" s="19" t="n"/>
      <c r="L77" s="19" t="n"/>
    </row>
    <row r="78">
      <c r="A78" s="19" t="n"/>
      <c r="B78" s="19" t="n"/>
      <c r="C78" s="19" t="n"/>
      <c r="D78" s="19" t="n"/>
      <c r="E78" s="19" t="n"/>
      <c r="F78" s="19" t="n"/>
      <c r="G78" s="19" t="n"/>
      <c r="H78" s="19" t="n"/>
      <c r="I78" s="19" t="n"/>
      <c r="J78" s="19" t="n"/>
      <c r="K78" s="19" t="n"/>
      <c r="L78" s="19" t="n"/>
    </row>
    <row r="79">
      <c r="A79" s="19" t="n"/>
      <c r="B79" s="19" t="n"/>
      <c r="C79" s="19" t="n"/>
      <c r="D79" s="19" t="n"/>
      <c r="E79" s="19" t="n"/>
      <c r="F79" s="19" t="n"/>
      <c r="G79" s="19" t="n"/>
      <c r="H79" s="19" t="n"/>
      <c r="I79" s="19" t="n"/>
      <c r="J79" s="19" t="n"/>
      <c r="K79" s="19" t="n"/>
      <c r="L79" s="19" t="n"/>
    </row>
    <row r="80">
      <c r="A80" s="19" t="n"/>
      <c r="B80" s="19" t="n"/>
      <c r="C80" s="19" t="n"/>
      <c r="D80" s="19" t="n"/>
      <c r="E80" s="19" t="n"/>
      <c r="F80" s="19" t="n"/>
      <c r="G80" s="19" t="n"/>
      <c r="H80" s="19" t="n"/>
      <c r="I80" s="19" t="n"/>
      <c r="J80" s="19" t="n"/>
      <c r="K80" s="19" t="n"/>
      <c r="L80" s="19" t="n"/>
    </row>
    <row r="81">
      <c r="A81" s="19" t="n"/>
      <c r="B81" s="19" t="n"/>
      <c r="C81" s="19" t="n"/>
      <c r="D81" s="19" t="n"/>
      <c r="E81" s="19" t="n"/>
      <c r="F81" s="19" t="n"/>
      <c r="G81" s="19" t="n"/>
      <c r="H81" s="19" t="n"/>
      <c r="I81" s="19" t="n"/>
      <c r="J81" s="19" t="n"/>
      <c r="K81" s="19" t="n"/>
      <c r="L81" s="19" t="n"/>
    </row>
    <row r="82">
      <c r="A82" s="19" t="n"/>
      <c r="B82" s="19" t="n"/>
      <c r="C82" s="19" t="n"/>
      <c r="D82" s="19" t="n"/>
      <c r="E82" s="19" t="n"/>
      <c r="F82" s="19" t="n"/>
      <c r="G82" s="19" t="n"/>
      <c r="H82" s="19" t="n"/>
      <c r="I82" s="19" t="n"/>
      <c r="J82" s="19" t="n"/>
      <c r="K82" s="19" t="n"/>
      <c r="L82" s="19" t="n"/>
    </row>
    <row r="83">
      <c r="A83" s="19" t="n"/>
      <c r="B83" s="19" t="n"/>
      <c r="C83" s="19" t="n"/>
      <c r="D83" s="19" t="n"/>
      <c r="E83" s="19" t="n"/>
      <c r="F83" s="19" t="n"/>
      <c r="G83" s="19" t="n"/>
      <c r="H83" s="19" t="n"/>
      <c r="I83" s="19" t="n"/>
      <c r="J83" s="19" t="n"/>
      <c r="K83" s="19" t="n"/>
      <c r="L83" s="19" t="n"/>
    </row>
    <row r="84">
      <c r="A84" s="19" t="n"/>
      <c r="B84" s="19" t="n"/>
      <c r="C84" s="19" t="n"/>
      <c r="D84" s="19" t="n"/>
      <c r="E84" s="19" t="n"/>
      <c r="F84" s="19" t="n"/>
      <c r="G84" s="19" t="n"/>
      <c r="H84" s="19" t="n"/>
      <c r="I84" s="19" t="n"/>
      <c r="J84" s="19" t="n"/>
      <c r="K84" s="19" t="n"/>
      <c r="L84" s="19" t="n"/>
    </row>
    <row r="85">
      <c r="A85" s="19" t="n"/>
      <c r="B85" s="19" t="n"/>
      <c r="C85" s="19" t="n"/>
      <c r="D85" s="19" t="n"/>
      <c r="E85" s="19" t="n"/>
      <c r="F85" s="19" t="n"/>
      <c r="G85" s="19" t="n"/>
      <c r="H85" s="19" t="n"/>
      <c r="I85" s="19" t="n"/>
      <c r="J85" s="19" t="n"/>
      <c r="K85" s="19" t="n"/>
      <c r="L85" s="19" t="n"/>
    </row>
    <row r="86">
      <c r="A86" s="19" t="n"/>
      <c r="B86" s="19" t="n"/>
      <c r="C86" s="19" t="n"/>
      <c r="D86" s="19" t="n"/>
      <c r="E86" s="19" t="n"/>
      <c r="F86" s="19" t="n"/>
      <c r="G86" s="19" t="n"/>
      <c r="H86" s="19" t="n"/>
      <c r="I86" s="19" t="n"/>
      <c r="J86" s="19" t="n"/>
      <c r="K86" s="19" t="n"/>
      <c r="L86" s="19" t="n"/>
    </row>
    <row r="87">
      <c r="A87" s="19" t="n"/>
      <c r="B87" s="19" t="n"/>
      <c r="C87" s="19" t="n"/>
      <c r="D87" s="19" t="n"/>
      <c r="E87" s="19" t="n"/>
      <c r="F87" s="19" t="n"/>
      <c r="G87" s="19" t="n"/>
      <c r="H87" s="19" t="n"/>
      <c r="I87" s="19" t="n"/>
      <c r="J87" s="19" t="n"/>
      <c r="K87" s="19" t="n"/>
      <c r="L87" s="19" t="n"/>
    </row>
    <row r="88">
      <c r="A88" s="19" t="n"/>
      <c r="B88" s="19" t="n"/>
      <c r="C88" s="19" t="n"/>
      <c r="D88" s="19" t="n"/>
      <c r="E88" s="19" t="n"/>
      <c r="F88" s="19" t="n"/>
      <c r="G88" s="19" t="n"/>
      <c r="H88" s="19" t="n"/>
      <c r="I88" s="19" t="n"/>
      <c r="J88" s="19" t="n"/>
      <c r="K88" s="19" t="n"/>
      <c r="L88" s="19" t="n"/>
    </row>
    <row r="89">
      <c r="A89" s="19" t="n"/>
      <c r="B89" s="19" t="n"/>
      <c r="C89" s="19" t="n"/>
      <c r="D89" s="19" t="n"/>
      <c r="E89" s="19" t="n"/>
      <c r="F89" s="19" t="n"/>
      <c r="G89" s="19" t="n"/>
      <c r="H89" s="19" t="n"/>
      <c r="I89" s="19" t="n"/>
      <c r="J89" s="19" t="n"/>
      <c r="K89" s="19" t="n"/>
      <c r="L89" s="19" t="n"/>
    </row>
    <row r="90">
      <c r="A90" s="19" t="n"/>
      <c r="B90" s="19" t="n"/>
      <c r="C90" s="19" t="n"/>
      <c r="D90" s="19" t="n"/>
      <c r="E90" s="19" t="n"/>
      <c r="F90" s="19" t="n"/>
      <c r="G90" s="19" t="n"/>
      <c r="H90" s="19" t="n"/>
      <c r="I90" s="19" t="n"/>
      <c r="J90" s="19" t="n"/>
      <c r="K90" s="19" t="n"/>
      <c r="L90" s="19" t="n"/>
    </row>
    <row r="91">
      <c r="A91" s="19" t="n"/>
      <c r="B91" s="19" t="n"/>
      <c r="C91" s="19" t="n"/>
      <c r="D91" s="19" t="n"/>
      <c r="E91" s="19" t="n"/>
      <c r="F91" s="19" t="n"/>
      <c r="G91" s="19" t="n"/>
      <c r="H91" s="19" t="n"/>
      <c r="I91" s="19" t="n"/>
      <c r="J91" s="19" t="n"/>
      <c r="K91" s="19" t="n"/>
      <c r="L91" s="19" t="n"/>
    </row>
    <row r="92">
      <c r="A92" s="19" t="n"/>
      <c r="B92" s="19" t="n"/>
      <c r="C92" s="19" t="n"/>
      <c r="D92" s="19" t="n"/>
      <c r="E92" s="19" t="n"/>
      <c r="F92" s="19" t="n"/>
      <c r="G92" s="19" t="n"/>
      <c r="H92" s="19" t="n"/>
      <c r="I92" s="19" t="n"/>
      <c r="J92" s="19" t="n"/>
      <c r="K92" s="19" t="n"/>
      <c r="L92" s="19" t="n"/>
    </row>
    <row r="93">
      <c r="A93" s="19" t="n"/>
      <c r="B93" s="19" t="n"/>
      <c r="C93" s="19" t="n"/>
      <c r="D93" s="19" t="n"/>
      <c r="E93" s="19" t="n"/>
      <c r="F93" s="19" t="n"/>
      <c r="G93" s="19" t="n"/>
      <c r="H93" s="19" t="n"/>
      <c r="I93" s="19" t="n"/>
      <c r="J93" s="19" t="n"/>
      <c r="K93" s="19" t="n"/>
      <c r="L93" s="19" t="n"/>
    </row>
    <row r="94">
      <c r="A94" s="19" t="n"/>
      <c r="B94" s="19" t="n"/>
      <c r="C94" s="19" t="n"/>
      <c r="D94" s="19" t="n"/>
      <c r="E94" s="19" t="n"/>
      <c r="F94" s="19" t="n"/>
      <c r="G94" s="19" t="n"/>
      <c r="H94" s="19" t="n"/>
      <c r="I94" s="19" t="n"/>
      <c r="J94" s="19" t="n"/>
      <c r="K94" s="19" t="n"/>
      <c r="L94" s="19" t="n"/>
    </row>
    <row r="95">
      <c r="A95" s="19" t="n"/>
      <c r="B95" s="19" t="n"/>
      <c r="C95" s="19" t="n"/>
      <c r="D95" s="19" t="n"/>
      <c r="E95" s="19" t="n"/>
      <c r="F95" s="19" t="n"/>
      <c r="G95" s="19" t="n"/>
      <c r="H95" s="19" t="n"/>
      <c r="I95" s="19" t="n"/>
      <c r="J95" s="19" t="n"/>
      <c r="K95" s="19" t="n"/>
      <c r="L95" s="19" t="n"/>
    </row>
    <row r="96">
      <c r="A96" s="19" t="n"/>
      <c r="B96" s="19" t="n"/>
      <c r="C96" s="19" t="n"/>
      <c r="D96" s="19" t="n"/>
      <c r="E96" s="19" t="n"/>
      <c r="F96" s="19" t="n"/>
      <c r="G96" s="19" t="n"/>
      <c r="H96" s="19" t="n"/>
      <c r="I96" s="19" t="n"/>
      <c r="J96" s="19" t="n"/>
      <c r="K96" s="19" t="n"/>
      <c r="L96" s="19" t="n"/>
    </row>
    <row r="97">
      <c r="A97" s="19" t="n"/>
      <c r="B97" s="19" t="n"/>
      <c r="C97" s="19" t="n"/>
      <c r="D97" s="19" t="n"/>
      <c r="E97" s="19" t="n"/>
      <c r="F97" s="19" t="n"/>
      <c r="G97" s="19" t="n"/>
      <c r="H97" s="19" t="n"/>
      <c r="I97" s="19" t="n"/>
      <c r="J97" s="19" t="n"/>
      <c r="K97" s="19" t="n"/>
      <c r="L97" s="19" t="n"/>
    </row>
    <row r="98">
      <c r="A98" s="19" t="n"/>
      <c r="B98" s="19" t="n"/>
      <c r="C98" s="19" t="n"/>
      <c r="D98" s="19" t="n"/>
      <c r="E98" s="19" t="n"/>
      <c r="F98" s="19" t="n"/>
      <c r="G98" s="19" t="n"/>
      <c r="H98" s="19" t="n"/>
      <c r="I98" s="19" t="n"/>
      <c r="J98" s="19" t="n"/>
      <c r="K98" s="19" t="n"/>
      <c r="L98" s="19" t="n"/>
    </row>
    <row r="99">
      <c r="A99" s="19" t="n"/>
      <c r="B99" s="19" t="n"/>
      <c r="C99" s="19" t="n"/>
      <c r="D99" s="19" t="n"/>
      <c r="E99" s="19" t="n"/>
      <c r="F99" s="19" t="n"/>
      <c r="G99" s="19" t="n"/>
      <c r="H99" s="19" t="n"/>
      <c r="I99" s="19" t="n"/>
      <c r="J99" s="19" t="n"/>
      <c r="K99" s="19" t="n"/>
      <c r="L99" s="19" t="n"/>
    </row>
    <row r="100">
      <c r="A100" s="19" t="n"/>
      <c r="B100" s="19" t="n"/>
      <c r="C100" s="19" t="n"/>
      <c r="D100" s="19" t="n"/>
      <c r="E100" s="19" t="n"/>
      <c r="F100" s="19" t="n"/>
      <c r="G100" s="19" t="n"/>
      <c r="H100" s="19" t="n"/>
      <c r="I100" s="19" t="n"/>
      <c r="J100" s="19" t="n"/>
      <c r="K100" s="19" t="n"/>
      <c r="L100" s="19" t="n"/>
    </row>
    <row r="101">
      <c r="A101" s="19" t="n"/>
      <c r="B101" s="19" t="n"/>
      <c r="C101" s="19" t="n"/>
      <c r="D101" s="19" t="n"/>
      <c r="E101" s="19" t="n"/>
      <c r="F101" s="19" t="n"/>
      <c r="G101" s="19" t="n"/>
      <c r="H101" s="19" t="n"/>
      <c r="I101" s="19" t="n"/>
      <c r="J101" s="19" t="n"/>
      <c r="K101" s="19" t="n"/>
      <c r="L101" s="19" t="n"/>
    </row>
    <row r="102">
      <c r="A102" s="19" t="n"/>
      <c r="B102" s="19" t="n"/>
      <c r="C102" s="19" t="n"/>
      <c r="D102" s="19" t="n"/>
      <c r="E102" s="19" t="n"/>
      <c r="F102" s="19" t="n"/>
      <c r="G102" s="19" t="n"/>
      <c r="H102" s="19" t="n"/>
      <c r="I102" s="19" t="n"/>
      <c r="J102" s="19" t="n"/>
      <c r="K102" s="19" t="n"/>
      <c r="L102" s="19" t="n"/>
    </row>
    <row r="103">
      <c r="A103" s="19" t="n"/>
      <c r="B103" s="19" t="n"/>
      <c r="C103" s="19" t="n"/>
      <c r="D103" s="19" t="n"/>
      <c r="E103" s="19" t="n"/>
      <c r="F103" s="19" t="n"/>
      <c r="G103" s="19" t="n"/>
      <c r="H103" s="19" t="n"/>
      <c r="I103" s="19" t="n"/>
      <c r="J103" s="19" t="n"/>
      <c r="K103" s="19" t="n"/>
      <c r="L103" s="19" t="n"/>
    </row>
    <row r="104">
      <c r="A104" s="19" t="n"/>
      <c r="B104" s="19" t="n"/>
      <c r="C104" s="19" t="n"/>
      <c r="D104" s="19" t="n"/>
      <c r="E104" s="19" t="n"/>
      <c r="F104" s="19" t="n"/>
      <c r="G104" s="19" t="n"/>
      <c r="H104" s="19" t="n"/>
      <c r="I104" s="19" t="n"/>
      <c r="J104" s="19" t="n"/>
      <c r="K104" s="19" t="n"/>
      <c r="L104" s="19" t="n"/>
    </row>
    <row r="105">
      <c r="A105" s="19" t="n"/>
      <c r="B105" s="19" t="n"/>
      <c r="C105" s="19" t="n"/>
      <c r="D105" s="19" t="n"/>
      <c r="E105" s="19" t="n"/>
      <c r="F105" s="19" t="n"/>
      <c r="G105" s="19" t="n"/>
      <c r="H105" s="19" t="n"/>
      <c r="I105" s="19" t="n"/>
      <c r="J105" s="19" t="n"/>
      <c r="K105" s="19" t="n"/>
      <c r="L105" s="19" t="n"/>
    </row>
    <row r="106">
      <c r="A106" s="19" t="n"/>
      <c r="B106" s="19" t="n"/>
      <c r="C106" s="19" t="n"/>
      <c r="D106" s="19" t="n"/>
      <c r="E106" s="19" t="n"/>
      <c r="F106" s="19" t="n"/>
      <c r="G106" s="19" t="n"/>
      <c r="H106" s="19" t="n"/>
      <c r="I106" s="19" t="n"/>
      <c r="J106" s="19" t="n"/>
      <c r="K106" s="19" t="n"/>
      <c r="L106" s="19" t="n"/>
    </row>
    <row r="107">
      <c r="A107" s="19" t="n"/>
      <c r="B107" s="19" t="n"/>
      <c r="C107" s="19" t="n"/>
      <c r="D107" s="19" t="n"/>
      <c r="E107" s="19" t="n"/>
      <c r="F107" s="19" t="n"/>
      <c r="G107" s="19" t="n"/>
      <c r="H107" s="19" t="n"/>
      <c r="I107" s="19" t="n"/>
      <c r="J107" s="19" t="n"/>
      <c r="K107" s="19" t="n"/>
      <c r="L107" s="19" t="n"/>
    </row>
    <row r="108">
      <c r="A108" s="19" t="n"/>
      <c r="B108" s="19" t="n"/>
      <c r="C108" s="19" t="n"/>
      <c r="D108" s="19" t="n"/>
      <c r="E108" s="19" t="n"/>
      <c r="F108" s="19" t="n"/>
      <c r="G108" s="19" t="n"/>
      <c r="H108" s="19" t="n"/>
      <c r="I108" s="19" t="n"/>
      <c r="J108" s="19" t="n"/>
      <c r="K108" s="19" t="n"/>
      <c r="L108" s="19" t="n"/>
    </row>
    <row r="109">
      <c r="A109" s="19" t="n"/>
      <c r="B109" s="19" t="n"/>
      <c r="C109" s="19" t="n"/>
      <c r="D109" s="19" t="n"/>
      <c r="E109" s="19" t="n"/>
      <c r="F109" s="19" t="n"/>
      <c r="G109" s="19" t="n"/>
      <c r="H109" s="19" t="n"/>
      <c r="I109" s="19" t="n"/>
      <c r="J109" s="19" t="n"/>
      <c r="K109" s="19" t="n"/>
      <c r="L109" s="19" t="n"/>
    </row>
    <row r="110">
      <c r="A110" s="19" t="n"/>
      <c r="B110" s="19" t="n"/>
      <c r="C110" s="19" t="n"/>
      <c r="D110" s="19" t="n"/>
      <c r="E110" s="19" t="n"/>
      <c r="F110" s="19" t="n"/>
      <c r="G110" s="19" t="n"/>
      <c r="H110" s="19" t="n"/>
      <c r="I110" s="19" t="n"/>
      <c r="J110" s="19" t="n"/>
      <c r="K110" s="19" t="n"/>
      <c r="L110" s="19" t="n"/>
    </row>
    <row r="111">
      <c r="A111" s="19" t="n"/>
      <c r="B111" s="19" t="n"/>
      <c r="C111" s="19" t="n"/>
      <c r="D111" s="19" t="n"/>
      <c r="E111" s="19" t="n"/>
      <c r="F111" s="19" t="n"/>
      <c r="G111" s="19" t="n"/>
      <c r="H111" s="19" t="n"/>
      <c r="I111" s="19" t="n"/>
      <c r="J111" s="19" t="n"/>
      <c r="K111" s="19" t="n"/>
      <c r="L111" s="19" t="n"/>
    </row>
    <row r="112">
      <c r="A112" s="19" t="n"/>
      <c r="B112" s="19" t="n"/>
      <c r="C112" s="19" t="n"/>
      <c r="D112" s="19" t="n"/>
      <c r="E112" s="19" t="n"/>
      <c r="F112" s="19" t="n"/>
      <c r="G112" s="19" t="n"/>
      <c r="H112" s="19" t="n"/>
      <c r="I112" s="19" t="n"/>
      <c r="J112" s="19" t="n"/>
      <c r="K112" s="19" t="n"/>
      <c r="L112" s="19" t="n"/>
    </row>
    <row r="113">
      <c r="A113" s="19" t="n"/>
      <c r="B113" s="19" t="n"/>
      <c r="C113" s="19" t="n"/>
      <c r="D113" s="19" t="n"/>
      <c r="E113" s="19" t="n"/>
      <c r="F113" s="19" t="n"/>
      <c r="G113" s="19" t="n"/>
      <c r="H113" s="19" t="n"/>
      <c r="I113" s="19" t="n"/>
      <c r="J113" s="19" t="n"/>
      <c r="K113" s="19" t="n"/>
      <c r="L113" s="19" t="n"/>
    </row>
    <row r="114">
      <c r="A114" s="19" t="n"/>
      <c r="B114" s="19" t="n"/>
      <c r="C114" s="19" t="n"/>
      <c r="D114" s="19" t="n"/>
      <c r="E114" s="19" t="n"/>
      <c r="F114" s="19" t="n"/>
      <c r="G114" s="19" t="n"/>
      <c r="H114" s="19" t="n"/>
      <c r="I114" s="19" t="n"/>
      <c r="J114" s="19" t="n"/>
      <c r="K114" s="19" t="n"/>
      <c r="L114" s="19" t="n"/>
    </row>
    <row r="115">
      <c r="A115" s="19" t="n"/>
      <c r="B115" s="19" t="n"/>
      <c r="C115" s="19" t="n"/>
      <c r="D115" s="19" t="n"/>
      <c r="E115" s="19" t="n"/>
      <c r="F115" s="19" t="n"/>
      <c r="G115" s="19" t="n"/>
      <c r="H115" s="19" t="n"/>
      <c r="I115" s="19" t="n"/>
      <c r="J115" s="19" t="n"/>
      <c r="K115" s="19" t="n"/>
      <c r="L115" s="19" t="n"/>
    </row>
    <row r="116">
      <c r="A116" s="19" t="n"/>
      <c r="B116" s="19" t="n"/>
      <c r="C116" s="19" t="n"/>
      <c r="D116" s="19" t="n"/>
      <c r="E116" s="19" t="n"/>
      <c r="F116" s="19" t="n"/>
      <c r="G116" s="19" t="n"/>
      <c r="H116" s="19" t="n"/>
      <c r="I116" s="19" t="n"/>
      <c r="J116" s="19" t="n"/>
      <c r="K116" s="19" t="n"/>
      <c r="L116" s="19" t="n"/>
    </row>
    <row r="117">
      <c r="A117" s="19" t="n"/>
      <c r="B117" s="19" t="n"/>
      <c r="C117" s="19" t="n"/>
      <c r="D117" s="19" t="n"/>
      <c r="E117" s="19" t="n"/>
      <c r="F117" s="19" t="n"/>
      <c r="G117" s="19" t="n"/>
      <c r="H117" s="19" t="n"/>
      <c r="I117" s="19" t="n"/>
      <c r="J117" s="19" t="n"/>
      <c r="K117" s="19" t="n"/>
      <c r="L117" s="19" t="n"/>
    </row>
    <row r="118">
      <c r="A118" s="19" t="n"/>
      <c r="B118" s="19" t="n"/>
      <c r="C118" s="19" t="n"/>
      <c r="D118" s="19" t="n"/>
      <c r="E118" s="19" t="n"/>
      <c r="F118" s="19" t="n"/>
      <c r="G118" s="19" t="n"/>
      <c r="H118" s="19" t="n"/>
      <c r="I118" s="19" t="n"/>
      <c r="J118" s="19" t="n"/>
      <c r="K118" s="19" t="n"/>
      <c r="L118" s="19" t="n"/>
    </row>
    <row r="119">
      <c r="A119" s="19" t="n"/>
      <c r="B119" s="19" t="n"/>
      <c r="C119" s="19" t="n"/>
      <c r="D119" s="19" t="n"/>
      <c r="E119" s="19" t="n"/>
      <c r="F119" s="19" t="n"/>
      <c r="G119" s="19" t="n"/>
      <c r="H119" s="19" t="n"/>
      <c r="I119" s="19" t="n"/>
      <c r="J119" s="19" t="n"/>
      <c r="K119" s="19" t="n"/>
      <c r="L119" s="19" t="n"/>
    </row>
    <row r="120">
      <c r="A120" s="19" t="n"/>
      <c r="B120" s="19" t="n"/>
      <c r="C120" s="19" t="n"/>
      <c r="D120" s="19" t="n"/>
      <c r="E120" s="19" t="n"/>
      <c r="F120" s="19" t="n"/>
      <c r="G120" s="19" t="n"/>
      <c r="H120" s="19" t="n"/>
      <c r="I120" s="19" t="n"/>
      <c r="J120" s="19" t="n"/>
      <c r="K120" s="19" t="n"/>
      <c r="L120" s="19" t="n"/>
    </row>
    <row r="121">
      <c r="A121" s="19" t="n"/>
      <c r="B121" s="19" t="n"/>
      <c r="C121" s="19" t="n"/>
      <c r="D121" s="19" t="n"/>
      <c r="E121" s="19" t="n"/>
      <c r="F121" s="19" t="n"/>
      <c r="G121" s="19" t="n"/>
      <c r="H121" s="19" t="n"/>
      <c r="I121" s="19" t="n"/>
      <c r="J121" s="19" t="n"/>
      <c r="K121" s="19" t="n"/>
      <c r="L121" s="19" t="n"/>
    </row>
    <row r="122">
      <c r="A122" s="19" t="n"/>
      <c r="B122" s="19" t="n"/>
      <c r="C122" s="19" t="n"/>
      <c r="D122" s="19" t="n"/>
      <c r="E122" s="19" t="n"/>
      <c r="F122" s="19" t="n"/>
      <c r="G122" s="19" t="n"/>
      <c r="H122" s="19" t="n"/>
      <c r="I122" s="19" t="n"/>
      <c r="J122" s="19" t="n"/>
      <c r="K122" s="19" t="n"/>
      <c r="L122" s="19" t="n"/>
    </row>
    <row r="123">
      <c r="A123" s="19" t="n"/>
      <c r="B123" s="19" t="n"/>
      <c r="C123" s="19" t="n"/>
      <c r="D123" s="19" t="n"/>
      <c r="E123" s="19" t="n"/>
      <c r="F123" s="19" t="n"/>
      <c r="G123" s="19" t="n"/>
      <c r="H123" s="19" t="n"/>
      <c r="I123" s="19" t="n"/>
      <c r="J123" s="19" t="n"/>
      <c r="K123" s="19" t="n"/>
      <c r="L123" s="19" t="n"/>
    </row>
    <row r="124">
      <c r="A124" s="19" t="n"/>
      <c r="B124" s="19" t="n"/>
      <c r="C124" s="19" t="n"/>
      <c r="D124" s="19" t="n"/>
      <c r="E124" s="19" t="n"/>
      <c r="F124" s="19" t="n"/>
      <c r="G124" s="19" t="n"/>
      <c r="H124" s="19" t="n"/>
      <c r="I124" s="19" t="n"/>
      <c r="J124" s="19" t="n"/>
      <c r="K124" s="19" t="n"/>
      <c r="L124" s="19" t="n"/>
    </row>
    <row r="125">
      <c r="A125" s="19" t="n"/>
      <c r="B125" s="19" t="n"/>
      <c r="C125" s="19" t="n"/>
      <c r="D125" s="19" t="n"/>
      <c r="E125" s="19" t="n"/>
      <c r="F125" s="19" t="n"/>
      <c r="G125" s="19" t="n"/>
      <c r="H125" s="19" t="n"/>
      <c r="I125" s="19" t="n"/>
      <c r="J125" s="19" t="n"/>
      <c r="K125" s="19" t="n"/>
      <c r="L125" s="19" t="n"/>
    </row>
    <row r="126">
      <c r="A126" s="19" t="n"/>
      <c r="B126" s="19" t="n"/>
      <c r="C126" s="19" t="n"/>
      <c r="D126" s="19" t="n"/>
      <c r="E126" s="19" t="n"/>
      <c r="F126" s="19" t="n"/>
      <c r="G126" s="19" t="n"/>
      <c r="H126" s="19" t="n"/>
      <c r="I126" s="19" t="n"/>
      <c r="J126" s="19" t="n"/>
      <c r="K126" s="19" t="n"/>
      <c r="L126" s="19" t="n"/>
    </row>
    <row r="127">
      <c r="A127" s="19" t="n"/>
      <c r="B127" s="19" t="n"/>
      <c r="C127" s="19" t="n"/>
      <c r="D127" s="19" t="n"/>
      <c r="E127" s="19" t="n"/>
      <c r="F127" s="19" t="n"/>
      <c r="G127" s="19" t="n"/>
      <c r="H127" s="19" t="n"/>
      <c r="I127" s="19" t="n"/>
      <c r="J127" s="19" t="n"/>
      <c r="K127" s="19" t="n"/>
      <c r="L127" s="19" t="n"/>
    </row>
    <row r="128">
      <c r="A128" s="19" t="n"/>
      <c r="B128" s="19" t="n"/>
      <c r="C128" s="19" t="n"/>
      <c r="D128" s="19" t="n"/>
      <c r="E128" s="19" t="n"/>
      <c r="F128" s="19" t="n"/>
      <c r="G128" s="19" t="n"/>
      <c r="H128" s="19" t="n"/>
      <c r="I128" s="19" t="n"/>
      <c r="J128" s="19" t="n"/>
      <c r="K128" s="19" t="n"/>
      <c r="L128" s="19" t="n"/>
    </row>
    <row r="129">
      <c r="A129" s="19" t="n"/>
      <c r="B129" s="19" t="n"/>
      <c r="C129" s="19" t="n"/>
      <c r="D129" s="19" t="n"/>
      <c r="E129" s="19" t="n"/>
      <c r="F129" s="19" t="n"/>
      <c r="G129" s="19" t="n"/>
      <c r="H129" s="19" t="n"/>
      <c r="I129" s="19" t="n"/>
      <c r="J129" s="19" t="n"/>
      <c r="K129" s="19" t="n"/>
      <c r="L129" s="19" t="n"/>
    </row>
    <row r="130">
      <c r="A130" s="19" t="n"/>
      <c r="B130" s="19" t="n"/>
      <c r="C130" s="19" t="n"/>
      <c r="D130" s="19" t="n"/>
      <c r="E130" s="19" t="n"/>
      <c r="F130" s="19" t="n"/>
      <c r="G130" s="19" t="n"/>
      <c r="H130" s="19" t="n"/>
      <c r="I130" s="19" t="n"/>
      <c r="J130" s="19" t="n"/>
      <c r="K130" s="19" t="n"/>
      <c r="L130" s="19" t="n"/>
    </row>
    <row r="131">
      <c r="A131" s="19" t="n"/>
      <c r="B131" s="19" t="n"/>
      <c r="C131" s="19" t="n"/>
      <c r="D131" s="19" t="n"/>
      <c r="E131" s="19" t="n"/>
      <c r="F131" s="19" t="n"/>
      <c r="G131" s="19" t="n"/>
      <c r="H131" s="19" t="n"/>
      <c r="I131" s="19" t="n"/>
      <c r="J131" s="19" t="n"/>
      <c r="K131" s="19" t="n"/>
      <c r="L131" s="19" t="n"/>
    </row>
    <row r="132">
      <c r="A132" s="19" t="n"/>
      <c r="B132" s="19" t="n"/>
      <c r="C132" s="19" t="n"/>
      <c r="D132" s="19" t="n"/>
      <c r="E132" s="19" t="n"/>
      <c r="F132" s="19" t="n"/>
      <c r="G132" s="19" t="n"/>
      <c r="H132" s="19" t="n"/>
      <c r="I132" s="19" t="n"/>
      <c r="J132" s="19" t="n"/>
      <c r="K132" s="19" t="n"/>
      <c r="L132" s="19" t="n"/>
    </row>
    <row r="133">
      <c r="A133" s="19" t="n"/>
      <c r="B133" s="19" t="n"/>
      <c r="C133" s="19" t="n"/>
      <c r="D133" s="19" t="n"/>
      <c r="E133" s="19" t="n"/>
      <c r="F133" s="19" t="n"/>
      <c r="G133" s="19" t="n"/>
      <c r="H133" s="19" t="n"/>
      <c r="I133" s="19" t="n"/>
      <c r="J133" s="19" t="n"/>
      <c r="K133" s="19" t="n"/>
      <c r="L133" s="19" t="n"/>
    </row>
    <row r="134">
      <c r="A134" s="19" t="n"/>
      <c r="B134" s="19" t="n"/>
      <c r="C134" s="19" t="n"/>
      <c r="D134" s="19" t="n"/>
      <c r="E134" s="19" t="n"/>
      <c r="F134" s="19" t="n"/>
      <c r="G134" s="19" t="n"/>
      <c r="H134" s="19" t="n"/>
      <c r="I134" s="19" t="n"/>
      <c r="J134" s="19" t="n"/>
      <c r="K134" s="19" t="n"/>
      <c r="L134" s="19" t="n"/>
    </row>
    <row r="135">
      <c r="A135" s="19" t="n"/>
      <c r="B135" s="19" t="n"/>
      <c r="C135" s="19" t="n"/>
      <c r="D135" s="19" t="n"/>
      <c r="E135" s="19" t="n"/>
      <c r="F135" s="19" t="n"/>
      <c r="G135" s="19" t="n"/>
      <c r="H135" s="19" t="n"/>
      <c r="I135" s="19" t="n"/>
      <c r="J135" s="19" t="n"/>
      <c r="K135" s="19" t="n"/>
      <c r="L135" s="19" t="n"/>
    </row>
    <row r="136">
      <c r="A136" s="19" t="n"/>
      <c r="B136" s="19" t="n"/>
      <c r="C136" s="19" t="n"/>
      <c r="D136" s="19" t="n"/>
      <c r="E136" s="19" t="n"/>
      <c r="F136" s="19" t="n"/>
      <c r="G136" s="19" t="n"/>
      <c r="H136" s="19" t="n"/>
      <c r="I136" s="19" t="n"/>
      <c r="J136" s="19" t="n"/>
      <c r="K136" s="19" t="n"/>
      <c r="L136" s="19" t="n"/>
    </row>
    <row r="137">
      <c r="A137" s="19" t="n"/>
      <c r="B137" s="19" t="n"/>
      <c r="C137" s="19" t="n"/>
      <c r="D137" s="19" t="n"/>
      <c r="E137" s="19" t="n"/>
      <c r="F137" s="19" t="n"/>
      <c r="G137" s="19" t="n"/>
      <c r="H137" s="19" t="n"/>
      <c r="I137" s="19" t="n"/>
      <c r="J137" s="19" t="n"/>
      <c r="K137" s="19" t="n"/>
      <c r="L137" s="19" t="n"/>
    </row>
    <row r="138">
      <c r="A138" s="19" t="n"/>
      <c r="B138" s="19" t="n"/>
      <c r="C138" s="19" t="n"/>
      <c r="D138" s="19" t="n"/>
      <c r="E138" s="19" t="n"/>
      <c r="F138" s="19" t="n"/>
      <c r="G138" s="19" t="n"/>
      <c r="H138" s="19" t="n"/>
      <c r="I138" s="19" t="n"/>
      <c r="J138" s="19" t="n"/>
      <c r="K138" s="19" t="n"/>
      <c r="L138" s="19" t="n"/>
    </row>
    <row r="139">
      <c r="A139" s="19" t="n"/>
      <c r="B139" s="19" t="n"/>
      <c r="C139" s="19" t="n"/>
      <c r="D139" s="19" t="n"/>
      <c r="E139" s="19" t="n"/>
      <c r="F139" s="19" t="n"/>
      <c r="G139" s="19" t="n"/>
      <c r="H139" s="19" t="n"/>
      <c r="I139" s="19" t="n"/>
      <c r="J139" s="19" t="n"/>
      <c r="K139" s="19" t="n"/>
      <c r="L139" s="19" t="n"/>
    </row>
    <row r="140">
      <c r="A140" s="19" t="n"/>
      <c r="B140" s="19" t="n"/>
      <c r="C140" s="19" t="n"/>
      <c r="D140" s="19" t="n"/>
      <c r="E140" s="19" t="n"/>
      <c r="F140" s="19" t="n"/>
      <c r="G140" s="19" t="n"/>
      <c r="H140" s="19" t="n"/>
      <c r="I140" s="19" t="n"/>
      <c r="J140" s="19" t="n"/>
      <c r="K140" s="19" t="n"/>
      <c r="L140" s="19" t="n"/>
    </row>
    <row r="141">
      <c r="A141" s="19" t="n"/>
      <c r="B141" s="19" t="n"/>
      <c r="C141" s="19" t="n"/>
      <c r="D141" s="19" t="n"/>
      <c r="E141" s="19" t="n"/>
      <c r="F141" s="19" t="n"/>
      <c r="G141" s="19" t="n"/>
      <c r="H141" s="19" t="n"/>
      <c r="I141" s="19" t="n"/>
      <c r="J141" s="19" t="n"/>
      <c r="K141" s="19" t="n"/>
      <c r="L141" s="19" t="n"/>
    </row>
    <row r="142">
      <c r="A142" s="19" t="n"/>
      <c r="B142" s="19" t="n"/>
      <c r="C142" s="19" t="n"/>
      <c r="D142" s="19" t="n"/>
      <c r="E142" s="19" t="n"/>
      <c r="F142" s="19" t="n"/>
      <c r="G142" s="19" t="n"/>
      <c r="H142" s="19" t="n"/>
      <c r="I142" s="19" t="n"/>
      <c r="J142" s="19" t="n"/>
      <c r="K142" s="19" t="n"/>
      <c r="L142" s="19" t="n"/>
    </row>
    <row r="143">
      <c r="A143" s="19" t="n"/>
      <c r="B143" s="19" t="n"/>
      <c r="C143" s="19" t="n"/>
      <c r="D143" s="19" t="n"/>
      <c r="E143" s="19" t="n"/>
      <c r="F143" s="19" t="n"/>
      <c r="G143" s="19" t="n"/>
      <c r="H143" s="19" t="n"/>
      <c r="I143" s="19" t="n"/>
      <c r="J143" s="19" t="n"/>
      <c r="K143" s="19" t="n"/>
      <c r="L143" s="19" t="n"/>
    </row>
    <row r="144">
      <c r="A144" s="19" t="n"/>
      <c r="B144" s="19" t="n"/>
      <c r="C144" s="19" t="n"/>
      <c r="D144" s="19" t="n"/>
      <c r="E144" s="19" t="n"/>
      <c r="F144" s="19" t="n"/>
      <c r="G144" s="19" t="n"/>
      <c r="H144" s="19" t="n"/>
      <c r="I144" s="19" t="n"/>
      <c r="J144" s="19" t="n"/>
      <c r="K144" s="19" t="n"/>
      <c r="L144" s="19" t="n"/>
    </row>
    <row r="145">
      <c r="A145" s="19" t="n"/>
      <c r="B145" s="19" t="n"/>
      <c r="C145" s="19" t="n"/>
      <c r="D145" s="19" t="n"/>
      <c r="E145" s="19" t="n"/>
      <c r="F145" s="19" t="n"/>
      <c r="G145" s="19" t="n"/>
      <c r="H145" s="19" t="n"/>
      <c r="I145" s="19" t="n"/>
      <c r="J145" s="19" t="n"/>
      <c r="K145" s="19" t="n"/>
      <c r="L145" s="19" t="n"/>
    </row>
    <row r="146">
      <c r="A146" s="19" t="n"/>
      <c r="B146" s="19" t="n"/>
      <c r="C146" s="19" t="n"/>
      <c r="D146" s="19" t="n"/>
      <c r="E146" s="19" t="n"/>
      <c r="F146" s="19" t="n"/>
      <c r="G146" s="19" t="n"/>
      <c r="H146" s="19" t="n"/>
      <c r="I146" s="19" t="n"/>
      <c r="J146" s="19" t="n"/>
      <c r="K146" s="19" t="n"/>
      <c r="L146" s="19" t="n"/>
    </row>
    <row r="147">
      <c r="A147" s="19" t="n"/>
      <c r="B147" s="19" t="n"/>
      <c r="C147" s="19" t="n"/>
      <c r="D147" s="19" t="n"/>
      <c r="E147" s="19" t="n"/>
      <c r="F147" s="19" t="n"/>
      <c r="G147" s="19" t="n"/>
      <c r="H147" s="19" t="n"/>
      <c r="I147" s="19" t="n"/>
      <c r="J147" s="19" t="n"/>
      <c r="K147" s="19" t="n"/>
      <c r="L147" s="19" t="n"/>
    </row>
    <row r="148">
      <c r="A148" s="19" t="n"/>
      <c r="B148" s="19" t="n"/>
      <c r="C148" s="19" t="n"/>
      <c r="D148" s="19" t="n"/>
      <c r="E148" s="19" t="n"/>
      <c r="F148" s="19" t="n"/>
      <c r="G148" s="19" t="n"/>
      <c r="H148" s="19" t="n"/>
      <c r="I148" s="19" t="n"/>
      <c r="J148" s="19" t="n"/>
      <c r="K148" s="19" t="n"/>
      <c r="L148" s="19" t="n"/>
    </row>
    <row r="149">
      <c r="A149" s="19" t="n"/>
      <c r="B149" s="19" t="n"/>
      <c r="C149" s="19" t="n"/>
      <c r="D149" s="19" t="n"/>
      <c r="E149" s="19" t="n"/>
      <c r="F149" s="19" t="n"/>
      <c r="G149" s="19" t="n"/>
      <c r="H149" s="19" t="n"/>
      <c r="I149" s="19" t="n"/>
      <c r="J149" s="19" t="n"/>
      <c r="K149" s="19" t="n"/>
      <c r="L149" s="19" t="n"/>
    </row>
    <row r="150">
      <c r="A150" s="19" t="n"/>
      <c r="B150" s="19" t="n"/>
      <c r="C150" s="19" t="n"/>
      <c r="D150" s="19" t="n"/>
      <c r="E150" s="19" t="n"/>
      <c r="F150" s="19" t="n"/>
      <c r="G150" s="19" t="n"/>
      <c r="H150" s="19" t="n"/>
      <c r="I150" s="19" t="n"/>
      <c r="J150" s="19" t="n"/>
      <c r="K150" s="19" t="n"/>
      <c r="L150" s="19" t="n"/>
    </row>
    <row r="151">
      <c r="A151" s="19" t="n"/>
      <c r="B151" s="19" t="n"/>
      <c r="C151" s="19" t="n"/>
      <c r="D151" s="19" t="n"/>
      <c r="E151" s="19" t="n"/>
      <c r="F151" s="19" t="n"/>
      <c r="G151" s="19" t="n"/>
      <c r="H151" s="19" t="n"/>
      <c r="I151" s="19" t="n"/>
      <c r="J151" s="19" t="n"/>
      <c r="K151" s="19" t="n"/>
      <c r="L151" s="19" t="n"/>
    </row>
    <row r="152">
      <c r="A152" s="19" t="n"/>
      <c r="B152" s="19" t="n"/>
      <c r="C152" s="19" t="n"/>
      <c r="D152" s="19" t="n"/>
      <c r="E152" s="19" t="n"/>
      <c r="F152" s="19" t="n"/>
      <c r="G152" s="19" t="n"/>
      <c r="H152" s="19" t="n"/>
      <c r="I152" s="19" t="n"/>
      <c r="J152" s="19" t="n"/>
      <c r="K152" s="19" t="n"/>
      <c r="L152" s="19" t="n"/>
    </row>
    <row r="153">
      <c r="A153" s="19" t="n"/>
      <c r="B153" s="19" t="n"/>
      <c r="C153" s="19" t="n"/>
      <c r="D153" s="19" t="n"/>
      <c r="E153" s="19" t="n"/>
      <c r="F153" s="19" t="n"/>
      <c r="G153" s="19" t="n"/>
      <c r="H153" s="19" t="n"/>
      <c r="I153" s="19" t="n"/>
      <c r="J153" s="19" t="n"/>
      <c r="K153" s="19" t="n"/>
      <c r="L153" s="19" t="n"/>
    </row>
    <row r="154">
      <c r="A154" s="19" t="n"/>
      <c r="B154" s="19" t="n"/>
      <c r="C154" s="19" t="n"/>
      <c r="D154" s="19" t="n"/>
      <c r="E154" s="19" t="n"/>
      <c r="F154" s="19" t="n"/>
      <c r="G154" s="19" t="n"/>
      <c r="H154" s="19" t="n"/>
      <c r="I154" s="19" t="n"/>
      <c r="J154" s="19" t="n"/>
      <c r="K154" s="19" t="n"/>
      <c r="L154" s="19" t="n"/>
    </row>
    <row r="155">
      <c r="A155" s="19" t="n"/>
      <c r="B155" s="19" t="n"/>
      <c r="C155" s="19" t="n"/>
      <c r="D155" s="19" t="n"/>
      <c r="E155" s="19" t="n"/>
      <c r="F155" s="19" t="n"/>
      <c r="G155" s="19" t="n"/>
      <c r="H155" s="19" t="n"/>
      <c r="I155" s="19" t="n"/>
      <c r="J155" s="19" t="n"/>
      <c r="K155" s="19" t="n"/>
      <c r="L155" s="19" t="n"/>
    </row>
    <row r="156">
      <c r="A156" s="19" t="n"/>
      <c r="B156" s="19" t="n"/>
      <c r="C156" s="19" t="n"/>
      <c r="D156" s="19" t="n"/>
      <c r="E156" s="19" t="n"/>
      <c r="F156" s="19" t="n"/>
      <c r="G156" s="19" t="n"/>
      <c r="H156" s="19" t="n"/>
      <c r="I156" s="19" t="n"/>
      <c r="J156" s="19" t="n"/>
      <c r="K156" s="19" t="n"/>
      <c r="L156" s="19" t="n"/>
    </row>
    <row r="157">
      <c r="A157" s="19" t="n"/>
      <c r="B157" s="19" t="n"/>
      <c r="C157" s="19" t="n"/>
      <c r="D157" s="19" t="n"/>
      <c r="E157" s="19" t="n"/>
      <c r="F157" s="19" t="n"/>
      <c r="G157" s="19" t="n"/>
      <c r="H157" s="19" t="n"/>
      <c r="I157" s="19" t="n"/>
      <c r="J157" s="19" t="n"/>
      <c r="K157" s="19" t="n"/>
      <c r="L157" s="19" t="n"/>
    </row>
    <row r="158">
      <c r="A158" s="19" t="n"/>
      <c r="B158" s="19" t="n"/>
      <c r="C158" s="19" t="n"/>
      <c r="D158" s="19" t="n"/>
      <c r="E158" s="19" t="n"/>
      <c r="F158" s="19" t="n"/>
      <c r="G158" s="19" t="n"/>
      <c r="H158" s="19" t="n"/>
      <c r="I158" s="19" t="n"/>
      <c r="J158" s="19" t="n"/>
      <c r="K158" s="19" t="n"/>
      <c r="L158" s="19" t="n"/>
    </row>
    <row r="159">
      <c r="A159" s="19" t="n"/>
      <c r="B159" s="19" t="n"/>
      <c r="C159" s="19" t="n"/>
      <c r="D159" s="19" t="n"/>
      <c r="E159" s="19" t="n"/>
      <c r="F159" s="19" t="n"/>
      <c r="G159" s="19" t="n"/>
      <c r="H159" s="19" t="n"/>
      <c r="I159" s="19" t="n"/>
      <c r="J159" s="19" t="n"/>
      <c r="K159" s="19" t="n"/>
      <c r="L159" s="19" t="n"/>
    </row>
    <row r="160">
      <c r="A160" s="19" t="n"/>
      <c r="B160" s="19" t="n"/>
      <c r="C160" s="19" t="n"/>
      <c r="D160" s="19" t="n"/>
      <c r="E160" s="19" t="n"/>
      <c r="F160" s="19" t="n"/>
      <c r="G160" s="19" t="n"/>
      <c r="H160" s="19" t="n"/>
      <c r="I160" s="19" t="n"/>
      <c r="J160" s="19" t="n"/>
      <c r="K160" s="19" t="n"/>
      <c r="L160" s="19" t="n"/>
    </row>
    <row r="161">
      <c r="A161" s="19" t="n"/>
      <c r="B161" s="19" t="n"/>
      <c r="C161" s="19" t="n"/>
      <c r="D161" s="19" t="n"/>
      <c r="E161" s="19" t="n"/>
      <c r="F161" s="19" t="n"/>
      <c r="G161" s="19" t="n"/>
      <c r="H161" s="19" t="n"/>
      <c r="I161" s="19" t="n"/>
      <c r="J161" s="19" t="n"/>
      <c r="K161" s="19" t="n"/>
      <c r="L161" s="19" t="n"/>
    </row>
    <row r="162">
      <c r="A162" s="19" t="n"/>
      <c r="B162" s="19" t="n"/>
      <c r="C162" s="19" t="n"/>
      <c r="D162" s="19" t="n"/>
      <c r="E162" s="19" t="n"/>
      <c r="F162" s="19" t="n"/>
      <c r="G162" s="19" t="n"/>
      <c r="H162" s="19" t="n"/>
      <c r="I162" s="19" t="n"/>
      <c r="J162" s="19" t="n"/>
      <c r="K162" s="19" t="n"/>
      <c r="L162" s="19" t="n"/>
    </row>
    <row r="163">
      <c r="A163" s="19" t="n"/>
      <c r="B163" s="19" t="n"/>
      <c r="C163" s="19" t="n"/>
      <c r="D163" s="19" t="n"/>
      <c r="E163" s="19" t="n"/>
      <c r="F163" s="19" t="n"/>
      <c r="G163" s="19" t="n"/>
      <c r="H163" s="19" t="n"/>
      <c r="I163" s="19" t="n"/>
      <c r="J163" s="19" t="n"/>
      <c r="K163" s="19" t="n"/>
      <c r="L163" s="19" t="n"/>
    </row>
    <row r="164">
      <c r="A164" s="19" t="n"/>
      <c r="B164" s="19" t="n"/>
      <c r="C164" s="19" t="n"/>
      <c r="D164" s="19" t="n"/>
      <c r="E164" s="19" t="n"/>
      <c r="F164" s="19" t="n"/>
      <c r="G164" s="19" t="n"/>
      <c r="H164" s="19" t="n"/>
      <c r="I164" s="19" t="n"/>
      <c r="J164" s="19" t="n"/>
      <c r="K164" s="19" t="n"/>
      <c r="L164" s="19" t="n"/>
    </row>
    <row r="165">
      <c r="A165" s="19" t="n"/>
      <c r="B165" s="19" t="n"/>
      <c r="C165" s="19" t="n"/>
      <c r="D165" s="19" t="n"/>
      <c r="E165" s="19" t="n"/>
      <c r="F165" s="19" t="n"/>
      <c r="G165" s="19" t="n"/>
      <c r="H165" s="19" t="n"/>
      <c r="I165" s="19" t="n"/>
      <c r="J165" s="19" t="n"/>
      <c r="K165" s="19" t="n"/>
      <c r="L165" s="19" t="n"/>
    </row>
    <row r="166">
      <c r="A166" s="19" t="n"/>
      <c r="B166" s="19" t="n"/>
      <c r="C166" s="19" t="n"/>
      <c r="D166" s="19" t="n"/>
      <c r="E166" s="19" t="n"/>
      <c r="F166" s="19" t="n"/>
      <c r="G166" s="19" t="n"/>
      <c r="H166" s="19" t="n"/>
      <c r="I166" s="19" t="n"/>
      <c r="J166" s="19" t="n"/>
      <c r="K166" s="19" t="n"/>
      <c r="L166" s="19" t="n"/>
    </row>
    <row r="167">
      <c r="A167" s="19" t="n"/>
      <c r="B167" s="19" t="n"/>
      <c r="C167" s="19" t="n"/>
      <c r="D167" s="19" t="n"/>
      <c r="E167" s="19" t="n"/>
      <c r="F167" s="19" t="n"/>
      <c r="G167" s="19" t="n"/>
      <c r="H167" s="19" t="n"/>
      <c r="I167" s="19" t="n"/>
      <c r="J167" s="19" t="n"/>
      <c r="K167" s="19" t="n"/>
      <c r="L167" s="19" t="n"/>
    </row>
    <row r="168">
      <c r="A168" s="19" t="n"/>
      <c r="B168" s="19" t="n"/>
      <c r="C168" s="19" t="n"/>
      <c r="D168" s="19" t="n"/>
      <c r="E168" s="19" t="n"/>
      <c r="F168" s="19" t="n"/>
      <c r="G168" s="19" t="n"/>
      <c r="H168" s="19" t="n"/>
      <c r="I168" s="19" t="n"/>
      <c r="J168" s="19" t="n"/>
      <c r="K168" s="19" t="n"/>
      <c r="L168" s="19" t="n"/>
    </row>
    <row r="169">
      <c r="A169" s="19" t="n"/>
      <c r="B169" s="19" t="n"/>
      <c r="C169" s="19" t="n"/>
      <c r="D169" s="19" t="n"/>
      <c r="E169" s="19" t="n"/>
      <c r="F169" s="19" t="n"/>
      <c r="G169" s="19" t="n"/>
      <c r="H169" s="19" t="n"/>
      <c r="I169" s="19" t="n"/>
      <c r="J169" s="19" t="n"/>
      <c r="K169" s="19" t="n"/>
      <c r="L169" s="19" t="n"/>
    </row>
    <row r="170">
      <c r="A170" s="19" t="n"/>
      <c r="B170" s="19" t="n"/>
      <c r="C170" s="19" t="n"/>
      <c r="D170" s="19" t="n"/>
      <c r="E170" s="19" t="n"/>
      <c r="F170" s="19" t="n"/>
      <c r="G170" s="19" t="n"/>
      <c r="H170" s="19" t="n"/>
      <c r="I170" s="19" t="n"/>
      <c r="J170" s="19" t="n"/>
      <c r="K170" s="19" t="n"/>
      <c r="L170" s="19" t="n"/>
    </row>
    <row r="171">
      <c r="A171" s="19" t="n"/>
      <c r="B171" s="19" t="n"/>
      <c r="C171" s="19" t="n"/>
      <c r="D171" s="19" t="n"/>
      <c r="E171" s="19" t="n"/>
      <c r="F171" s="19" t="n"/>
      <c r="G171" s="19" t="n"/>
      <c r="H171" s="19" t="n"/>
      <c r="I171" s="19" t="n"/>
      <c r="J171" s="19" t="n"/>
      <c r="K171" s="19" t="n"/>
      <c r="L171" s="19" t="n"/>
    </row>
    <row r="172">
      <c r="A172" s="19" t="n"/>
      <c r="B172" s="19" t="n"/>
      <c r="C172" s="19" t="n"/>
      <c r="D172" s="19" t="n"/>
      <c r="E172" s="19" t="n"/>
      <c r="F172" s="19" t="n"/>
      <c r="G172" s="19" t="n"/>
      <c r="H172" s="19" t="n"/>
      <c r="I172" s="19" t="n"/>
      <c r="J172" s="19" t="n"/>
      <c r="K172" s="19" t="n"/>
      <c r="L172" s="19" t="n"/>
    </row>
    <row r="173">
      <c r="A173" s="19" t="n"/>
      <c r="B173" s="19" t="n"/>
      <c r="C173" s="19" t="n"/>
      <c r="D173" s="19" t="n"/>
      <c r="E173" s="19" t="n"/>
      <c r="F173" s="19" t="n"/>
      <c r="G173" s="19" t="n"/>
      <c r="H173" s="19" t="n"/>
      <c r="I173" s="19" t="n"/>
      <c r="J173" s="19" t="n"/>
      <c r="K173" s="19" t="n"/>
      <c r="L173" s="19" t="n"/>
    </row>
    <row r="174">
      <c r="A174" s="19" t="n"/>
      <c r="B174" s="19" t="n"/>
      <c r="C174" s="19" t="n"/>
      <c r="D174" s="19" t="n"/>
      <c r="E174" s="19" t="n"/>
      <c r="F174" s="19" t="n"/>
      <c r="G174" s="19" t="n"/>
      <c r="H174" s="19" t="n"/>
      <c r="I174" s="19" t="n"/>
      <c r="J174" s="19" t="n"/>
      <c r="K174" s="19" t="n"/>
      <c r="L174" s="19" t="n"/>
    </row>
    <row r="175">
      <c r="A175" s="19" t="n"/>
      <c r="B175" s="19" t="n"/>
      <c r="C175" s="19" t="n"/>
      <c r="D175" s="19" t="n"/>
      <c r="E175" s="19" t="n"/>
      <c r="F175" s="19" t="n"/>
      <c r="G175" s="19" t="n"/>
      <c r="H175" s="19" t="n"/>
      <c r="I175" s="19" t="n"/>
      <c r="J175" s="19" t="n"/>
      <c r="K175" s="19" t="n"/>
      <c r="L175" s="19" t="n"/>
    </row>
    <row r="176">
      <c r="A176" s="19" t="n"/>
      <c r="B176" s="19" t="n"/>
      <c r="C176" s="19" t="n"/>
      <c r="D176" s="19" t="n"/>
      <c r="E176" s="19" t="n"/>
      <c r="F176" s="19" t="n"/>
      <c r="G176" s="19" t="n"/>
      <c r="H176" s="19" t="n"/>
      <c r="I176" s="19" t="n"/>
      <c r="J176" s="19" t="n"/>
      <c r="K176" s="19" t="n"/>
      <c r="L176" s="19" t="n"/>
    </row>
    <row r="177">
      <c r="A177" s="19" t="n"/>
      <c r="B177" s="19" t="n"/>
      <c r="C177" s="19" t="n"/>
      <c r="D177" s="19" t="n"/>
      <c r="E177" s="19" t="n"/>
      <c r="F177" s="19" t="n"/>
      <c r="G177" s="19" t="n"/>
      <c r="H177" s="19" t="n"/>
      <c r="I177" s="19" t="n"/>
      <c r="J177" s="19" t="n"/>
      <c r="K177" s="19" t="n"/>
      <c r="L177" s="19" t="n"/>
    </row>
    <row r="178">
      <c r="A178" s="19" t="n"/>
      <c r="B178" s="19" t="n"/>
      <c r="C178" s="19" t="n"/>
      <c r="D178" s="19" t="n"/>
      <c r="E178" s="19" t="n"/>
      <c r="F178" s="19" t="n"/>
      <c r="G178" s="19" t="n"/>
      <c r="H178" s="19" t="n"/>
      <c r="I178" s="19" t="n"/>
      <c r="J178" s="19" t="n"/>
      <c r="K178" s="19" t="n"/>
      <c r="L178" s="19" t="n"/>
    </row>
    <row r="179">
      <c r="A179" s="19" t="n"/>
      <c r="B179" s="19" t="n"/>
      <c r="C179" s="19" t="n"/>
      <c r="D179" s="19" t="n"/>
      <c r="E179" s="19" t="n"/>
      <c r="F179" s="19" t="n"/>
      <c r="G179" s="19" t="n"/>
      <c r="H179" s="19" t="n"/>
      <c r="I179" s="19" t="n"/>
      <c r="J179" s="19" t="n"/>
      <c r="K179" s="19" t="n"/>
      <c r="L179" s="19" t="n"/>
    </row>
    <row r="180">
      <c r="A180" s="19" t="n"/>
      <c r="B180" s="19" t="n"/>
      <c r="C180" s="19" t="n"/>
      <c r="D180" s="19" t="n"/>
      <c r="E180" s="19" t="n"/>
      <c r="F180" s="19" t="n"/>
      <c r="G180" s="19" t="n"/>
      <c r="H180" s="19" t="n"/>
      <c r="I180" s="19" t="n"/>
      <c r="J180" s="19" t="n"/>
      <c r="K180" s="19" t="n"/>
      <c r="L180" s="19" t="n"/>
    </row>
    <row r="181">
      <c r="A181" s="19" t="n"/>
      <c r="B181" s="19" t="n"/>
      <c r="C181" s="19" t="n"/>
      <c r="D181" s="19" t="n"/>
      <c r="E181" s="19" t="n"/>
      <c r="F181" s="19" t="n"/>
      <c r="G181" s="19" t="n"/>
      <c r="H181" s="19" t="n"/>
      <c r="I181" s="19" t="n"/>
      <c r="J181" s="19" t="n"/>
      <c r="K181" s="19" t="n"/>
      <c r="L181" s="19" t="n"/>
    </row>
    <row r="182">
      <c r="A182" s="19" t="n"/>
      <c r="B182" s="19" t="n"/>
      <c r="C182" s="19" t="n"/>
      <c r="D182" s="19" t="n"/>
      <c r="E182" s="19" t="n"/>
      <c r="F182" s="19" t="n"/>
      <c r="G182" s="19" t="n"/>
      <c r="H182" s="19" t="n"/>
      <c r="I182" s="19" t="n"/>
      <c r="J182" s="19" t="n"/>
      <c r="K182" s="19" t="n"/>
      <c r="L182" s="19" t="n"/>
    </row>
    <row r="183">
      <c r="A183" s="19" t="n"/>
      <c r="B183" s="19" t="n"/>
      <c r="C183" s="19" t="n"/>
      <c r="D183" s="19" t="n"/>
      <c r="E183" s="19" t="n"/>
      <c r="F183" s="19" t="n"/>
      <c r="G183" s="19" t="n"/>
      <c r="H183" s="19" t="n"/>
      <c r="I183" s="19" t="n"/>
      <c r="J183" s="19" t="n"/>
      <c r="K183" s="19" t="n"/>
      <c r="L183" s="19" t="n"/>
    </row>
    <row r="184">
      <c r="A184" s="19" t="n"/>
      <c r="B184" s="19" t="n"/>
      <c r="C184" s="19" t="n"/>
      <c r="D184" s="19" t="n"/>
      <c r="E184" s="19" t="n"/>
      <c r="F184" s="19" t="n"/>
      <c r="G184" s="19" t="n"/>
      <c r="H184" s="19" t="n"/>
      <c r="I184" s="19" t="n"/>
      <c r="J184" s="19" t="n"/>
      <c r="K184" s="19" t="n"/>
      <c r="L184" s="19" t="n"/>
    </row>
    <row r="185">
      <c r="A185" s="19" t="n"/>
      <c r="B185" s="19" t="n"/>
      <c r="C185" s="19" t="n"/>
      <c r="D185" s="19" t="n"/>
      <c r="E185" s="19" t="n"/>
      <c r="F185" s="19" t="n"/>
      <c r="G185" s="19" t="n"/>
      <c r="H185" s="19" t="n"/>
      <c r="I185" s="19" t="n"/>
      <c r="J185" s="19" t="n"/>
      <c r="K185" s="19" t="n"/>
      <c r="L185" s="19" t="n"/>
    </row>
    <row r="186">
      <c r="A186" s="19" t="n"/>
      <c r="B186" s="19" t="n"/>
      <c r="C186" s="19" t="n"/>
      <c r="D186" s="19" t="n"/>
      <c r="E186" s="19" t="n"/>
      <c r="F186" s="19" t="n"/>
      <c r="G186" s="19" t="n"/>
      <c r="H186" s="19" t="n"/>
      <c r="I186" s="19" t="n"/>
      <c r="J186" s="19" t="n"/>
      <c r="K186" s="19" t="n"/>
      <c r="L186" s="19" t="n"/>
    </row>
    <row r="187">
      <c r="A187" s="19" t="n"/>
      <c r="B187" s="19" t="n"/>
      <c r="C187" s="19" t="n"/>
      <c r="D187" s="19" t="n"/>
      <c r="E187" s="19" t="n"/>
      <c r="F187" s="19" t="n"/>
      <c r="G187" s="19" t="n"/>
      <c r="H187" s="19" t="n"/>
      <c r="I187" s="19" t="n"/>
      <c r="J187" s="19" t="n"/>
      <c r="K187" s="19" t="n"/>
      <c r="L187" s="19" t="n"/>
    </row>
    <row r="188">
      <c r="A188" s="19" t="n"/>
      <c r="B188" s="19" t="n"/>
      <c r="C188" s="19" t="n"/>
      <c r="D188" s="19" t="n"/>
      <c r="E188" s="19" t="n"/>
      <c r="F188" s="19" t="n"/>
      <c r="G188" s="19" t="n"/>
      <c r="H188" s="19" t="n"/>
      <c r="I188" s="19" t="n"/>
      <c r="J188" s="19" t="n"/>
      <c r="K188" s="19" t="n"/>
      <c r="L188" s="19" t="n"/>
    </row>
    <row r="189">
      <c r="A189" s="19" t="n"/>
      <c r="B189" s="19" t="n"/>
      <c r="C189" s="19" t="n"/>
      <c r="D189" s="19" t="n"/>
      <c r="E189" s="19" t="n"/>
      <c r="F189" s="19" t="n"/>
      <c r="G189" s="19" t="n"/>
      <c r="H189" s="19" t="n"/>
      <c r="I189" s="19" t="n"/>
      <c r="J189" s="19" t="n"/>
      <c r="K189" s="19" t="n"/>
      <c r="L189" s="19" t="n"/>
    </row>
    <row r="190">
      <c r="A190" s="19" t="n"/>
      <c r="B190" s="19" t="n"/>
      <c r="C190" s="19" t="n"/>
      <c r="D190" s="19" t="n"/>
      <c r="E190" s="19" t="n"/>
      <c r="F190" s="19" t="n"/>
      <c r="G190" s="19" t="n"/>
      <c r="H190" s="19" t="n"/>
      <c r="I190" s="19" t="n"/>
      <c r="J190" s="19" t="n"/>
      <c r="K190" s="19" t="n"/>
      <c r="L190" s="19" t="n"/>
    </row>
    <row r="191">
      <c r="A191" s="19" t="n"/>
      <c r="B191" s="19" t="n"/>
      <c r="C191" s="19" t="n"/>
      <c r="D191" s="19" t="n"/>
      <c r="E191" s="19" t="n"/>
      <c r="F191" s="19" t="n"/>
      <c r="G191" s="19" t="n"/>
      <c r="H191" s="19" t="n"/>
      <c r="I191" s="19" t="n"/>
      <c r="J191" s="19" t="n"/>
      <c r="K191" s="19" t="n"/>
      <c r="L191" s="19" t="n"/>
    </row>
    <row r="192">
      <c r="A192" s="19" t="n"/>
      <c r="B192" s="19" t="n"/>
      <c r="C192" s="19" t="n"/>
      <c r="D192" s="19" t="n"/>
      <c r="E192" s="19" t="n"/>
      <c r="F192" s="19" t="n"/>
      <c r="G192" s="19" t="n"/>
      <c r="H192" s="19" t="n"/>
      <c r="I192" s="19" t="n"/>
      <c r="J192" s="19" t="n"/>
      <c r="K192" s="19" t="n"/>
      <c r="L192" s="19" t="n"/>
    </row>
    <row r="193">
      <c r="A193" s="19" t="n"/>
      <c r="B193" s="19" t="n"/>
      <c r="C193" s="19" t="n"/>
      <c r="D193" s="19" t="n"/>
      <c r="E193" s="19" t="n"/>
      <c r="F193" s="19" t="n"/>
      <c r="G193" s="19" t="n"/>
      <c r="H193" s="19" t="n"/>
      <c r="I193" s="19" t="n"/>
      <c r="J193" s="19" t="n"/>
      <c r="K193" s="19" t="n"/>
      <c r="L193" s="19" t="n"/>
    </row>
    <row r="194">
      <c r="A194" s="19" t="n"/>
      <c r="B194" s="19" t="n"/>
      <c r="C194" s="19" t="n"/>
      <c r="D194" s="19" t="n"/>
      <c r="E194" s="19" t="n"/>
      <c r="F194" s="19" t="n"/>
      <c r="G194" s="19" t="n"/>
      <c r="H194" s="19" t="n"/>
      <c r="I194" s="19" t="n"/>
      <c r="J194" s="19" t="n"/>
      <c r="K194" s="19" t="n"/>
      <c r="L194" s="19" t="n"/>
    </row>
    <row r="195">
      <c r="A195" s="19" t="n"/>
      <c r="B195" s="19" t="n"/>
      <c r="C195" s="19" t="n"/>
      <c r="D195" s="19" t="n"/>
      <c r="E195" s="19" t="n"/>
      <c r="F195" s="19" t="n"/>
      <c r="G195" s="19" t="n"/>
      <c r="H195" s="19" t="n"/>
      <c r="I195" s="19" t="n"/>
      <c r="J195" s="19" t="n"/>
      <c r="K195" s="19" t="n"/>
      <c r="L195" s="19" t="n"/>
    </row>
    <row r="196">
      <c r="A196" s="19" t="n"/>
      <c r="B196" s="19" t="n"/>
      <c r="C196" s="19" t="n"/>
      <c r="D196" s="19" t="n"/>
      <c r="E196" s="19" t="n"/>
      <c r="F196" s="19" t="n"/>
      <c r="G196" s="19" t="n"/>
      <c r="H196" s="19" t="n"/>
      <c r="I196" s="19" t="n"/>
      <c r="J196" s="19" t="n"/>
      <c r="K196" s="19" t="n"/>
      <c r="L196" s="19" t="n"/>
    </row>
    <row r="197">
      <c r="A197" s="19" t="n"/>
      <c r="B197" s="19" t="n"/>
      <c r="C197" s="19" t="n"/>
      <c r="D197" s="19" t="n"/>
      <c r="E197" s="19" t="n"/>
      <c r="F197" s="19" t="n"/>
      <c r="G197" s="19" t="n"/>
      <c r="H197" s="19" t="n"/>
      <c r="I197" s="19" t="n"/>
      <c r="J197" s="19" t="n"/>
      <c r="K197" s="19" t="n"/>
      <c r="L197" s="19" t="n"/>
    </row>
    <row r="198">
      <c r="A198" s="19" t="n"/>
      <c r="B198" s="19" t="n"/>
      <c r="C198" s="19" t="n"/>
      <c r="D198" s="19" t="n"/>
      <c r="E198" s="19" t="n"/>
      <c r="F198" s="19" t="n"/>
      <c r="G198" s="19" t="n"/>
      <c r="H198" s="19" t="n"/>
      <c r="I198" s="19" t="n"/>
      <c r="J198" s="19" t="n"/>
      <c r="K198" s="19" t="n"/>
      <c r="L198" s="19" t="n"/>
    </row>
    <row r="199">
      <c r="A199" s="19" t="n"/>
      <c r="B199" s="19" t="n"/>
      <c r="C199" s="19" t="n"/>
      <c r="D199" s="19" t="n"/>
      <c r="E199" s="19" t="n"/>
      <c r="F199" s="19" t="n"/>
      <c r="G199" s="19" t="n"/>
      <c r="H199" s="19" t="n"/>
      <c r="I199" s="19" t="n"/>
      <c r="J199" s="19" t="n"/>
      <c r="K199" s="19" t="n"/>
      <c r="L199" s="19" t="n"/>
    </row>
    <row r="200">
      <c r="A200" s="19" t="n"/>
      <c r="B200" s="19" t="n"/>
      <c r="C200" s="19" t="n"/>
      <c r="D200" s="19" t="n"/>
      <c r="E200" s="19" t="n"/>
      <c r="F200" s="19" t="n"/>
      <c r="G200" s="19" t="n"/>
      <c r="H200" s="19" t="n"/>
      <c r="I200" s="19" t="n"/>
      <c r="J200" s="19" t="n"/>
      <c r="K200" s="19" t="n"/>
      <c r="L200" s="19" t="n"/>
    </row>
  </sheetData>
  <mergeCells count="2">
    <mergeCell ref="A2:L2"/>
    <mergeCell ref="A1:L1"/>
  </mergeCells>
  <dataValidations count="4">
    <dataValidation sqref="C5:C200" showDropDown="0" showInputMessage="0" showErrorMessage="0" allowBlank="0" type="list">
      <formula1>"Low,Medium,High,Critical"</formula1>
    </dataValidation>
    <dataValidation sqref="D5:D200" showDropDown="0" showInputMessage="0" showErrorMessage="0" allowBlank="0" type="list">
      <formula1>"Yes,No,N/A"</formula1>
    </dataValidation>
    <dataValidation sqref="J5:J200" showDropDown="0" showInputMessage="0" showErrorMessage="0" allowBlank="0" type="list">
      <formula1>"Hardik,Manus,ChatGPT,Hardware,Home Assistant,LocalTuya,Firmware,Other"</formula1>
    </dataValidation>
    <dataValidation sqref="K5:K200" showDropDown="0" showInputMessage="0" showErrorMessage="0" allowBlank="0" type="list">
      <formula1>"PENDING,PASS,FAIL,N/A,RETEST REQUIRED,BLOCKED"</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36" customWidth="1" min="1" max="1"/>
    <col width="100" customWidth="1" min="2" max="2"/>
  </cols>
  <sheetData>
    <row r="1" ht="28" customHeight="1">
      <c r="A1" s="45" t="inlineStr">
        <is>
          <t>AI Review Input</t>
        </is>
      </c>
      <c r="B1" s="45" t="n"/>
      <c r="C1" s="45" t="n"/>
      <c r="D1" s="45" t="n"/>
      <c r="E1" s="45" t="n"/>
      <c r="F1" s="45" t="n"/>
      <c r="G1" s="45" t="n"/>
      <c r="H1" s="45" t="n"/>
    </row>
    <row r="2" ht="36" customHeight="1">
      <c r="A2" s="46" t="inlineStr">
        <is>
          <t>Use this sheet to paste the test summary and failures into ChatGPT/Manus to decide what needs to be changed.</t>
        </is>
      </c>
      <c r="B2" s="47" t="n"/>
      <c r="C2" s="47" t="n"/>
      <c r="D2" s="47" t="n"/>
      <c r="E2" s="47" t="n"/>
      <c r="F2" s="47" t="n"/>
      <c r="G2" s="47" t="n"/>
      <c r="H2" s="47" t="n"/>
    </row>
    <row r="3">
      <c r="A3" s="48" t="n"/>
      <c r="B3" s="48" t="n"/>
      <c r="C3" s="48" t="n"/>
      <c r="D3" s="48" t="n"/>
      <c r="E3" s="48" t="n"/>
      <c r="F3" s="48" t="n"/>
      <c r="G3" s="48" t="n"/>
      <c r="H3" s="48" t="n"/>
    </row>
    <row r="4">
      <c r="A4" s="49" t="inlineStr">
        <is>
          <t>Copy/paste prompt</t>
        </is>
      </c>
      <c r="B4" s="49" t="inlineStr">
        <is>
          <t>Paste this prompt plus the failed rows from Failure Log and observations from each sheet:</t>
        </is>
      </c>
      <c r="C4" s="48" t="n"/>
      <c r="D4" s="48" t="n"/>
      <c r="E4" s="48" t="n"/>
      <c r="F4" s="48" t="n"/>
      <c r="G4" s="48" t="n"/>
      <c r="H4" s="48" t="n"/>
    </row>
    <row r="5">
      <c r="A5" s="49" t="inlineStr">
        <is>
          <t>Prompt</t>
        </is>
      </c>
      <c r="B5" s="49" t="inlineStr">
        <is>
          <t>Review these VelaDial hardware validation results. Identify exactly what needs to be changed in firmware, Home Assistant setup, wiring, LocalTuya mapping, or documentation. Do not guess. Separate critical blockers from visual polish. For every failure, provide likely root cause, next diagnostic step, and whether a code/config PR is needed.</t>
        </is>
      </c>
      <c r="C5" s="48" t="n"/>
      <c r="D5" s="48" t="n"/>
      <c r="E5" s="48" t="n"/>
      <c r="F5" s="48" t="n"/>
      <c r="G5" s="48" t="n"/>
      <c r="H5" s="48" t="n"/>
    </row>
    <row r="6">
      <c r="A6" s="49" t="inlineStr">
        <is>
          <t>Required input</t>
        </is>
      </c>
      <c r="B6" s="49" t="inlineStr">
        <is>
          <t>1. Failed rows from 13_Failure_Log. 2. Relevant observations from stage sheets. 3. Serial logs if available. 4. HA screenshots/entity states. 5. Videos/photos summary.</t>
        </is>
      </c>
      <c r="C6" s="48" t="n"/>
      <c r="D6" s="48" t="n"/>
      <c r="E6" s="48" t="n"/>
      <c r="F6" s="48" t="n"/>
      <c r="G6" s="48" t="n"/>
      <c r="H6" s="48" t="n"/>
    </row>
    <row r="7">
      <c r="A7" s="49" t="inlineStr">
        <is>
          <t>Expected AI output</t>
        </is>
      </c>
      <c r="B7" s="49" t="inlineStr">
        <is>
          <t>A. Blunt pass/fail assessment. B. Prioritized blocker list. C. Root-cause hypotheses. D. Exact fix plan. E. Which file(s) likely need changes. F. Retest checklist.</t>
        </is>
      </c>
      <c r="C7" s="48" t="n"/>
      <c r="D7" s="48" t="n"/>
      <c r="E7" s="48" t="n"/>
      <c r="F7" s="48" t="n"/>
      <c r="G7" s="48" t="n"/>
      <c r="H7" s="48" t="n"/>
    </row>
  </sheetData>
  <mergeCells count="2">
    <mergeCell ref="A2:H2"/>
    <mergeCell ref="A1:H1"/>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H80"/>
  <sheetViews>
    <sheetView workbookViewId="0">
      <pane ySplit="4" topLeftCell="A5" activePane="bottomLeft" state="frozen"/>
      <selection pane="bottomLeft" activeCell="A1" sqref="A1"/>
    </sheetView>
  </sheetViews>
  <sheetFormatPr baseColWidth="8" defaultRowHeight="15"/>
  <cols>
    <col width="30" customWidth="1" min="1" max="1"/>
    <col width="28" customWidth="1" min="2" max="2"/>
    <col width="18" customWidth="1" min="3" max="3"/>
    <col width="15" customWidth="1" min="4" max="4"/>
    <col width="30" customWidth="1" min="5" max="5"/>
  </cols>
  <sheetData>
    <row r="1" ht="28" customHeight="1">
      <c r="A1" s="50" t="inlineStr">
        <is>
          <t>Final Sign-Off</t>
        </is>
      </c>
      <c r="B1" s="51" t="n"/>
      <c r="C1" s="51" t="n"/>
      <c r="D1" s="51" t="n"/>
      <c r="E1" s="51" t="n"/>
      <c r="F1" s="51" t="n"/>
      <c r="G1" s="51" t="n"/>
      <c r="H1" s="51" t="n"/>
    </row>
    <row r="2" ht="36" customHeight="1">
      <c r="A2" s="52" t="inlineStr">
        <is>
          <t>Final PASS requires evidence-backed testing on real hardware. Conditional PASS allowed only for non-critical documented limitations.</t>
        </is>
      </c>
      <c r="B2" s="53" t="n"/>
      <c r="C2" s="53" t="n"/>
      <c r="D2" s="53" t="n"/>
      <c r="E2" s="53" t="n"/>
      <c r="F2" s="53" t="n"/>
      <c r="G2" s="53" t="n"/>
      <c r="H2" s="53" t="n"/>
    </row>
    <row r="3">
      <c r="A3" s="61" t="n"/>
      <c r="B3" s="61" t="n"/>
      <c r="C3" s="61" t="n"/>
      <c r="D3" s="61" t="n"/>
      <c r="E3" s="61" t="n"/>
      <c r="F3" s="61" t="n"/>
      <c r="G3" s="61" t="n"/>
      <c r="H3" s="61" t="n"/>
    </row>
    <row r="4" ht="36" customHeight="1">
      <c r="A4" s="66" t="inlineStr">
        <is>
          <t>Subsystem</t>
        </is>
      </c>
      <c r="B4" s="66" t="inlineStr">
        <is>
          <t>Required Result</t>
        </is>
      </c>
      <c r="C4" s="66" t="inlineStr">
        <is>
          <t>Actual Result</t>
        </is>
      </c>
      <c r="D4" s="66" t="inlineStr">
        <is>
          <t>Evidence Ref</t>
        </is>
      </c>
      <c r="E4" s="66" t="inlineStr">
        <is>
          <t>Notes</t>
        </is>
      </c>
      <c r="F4" s="66" t="n"/>
      <c r="G4" s="66" t="n"/>
      <c r="H4" s="66" t="n"/>
    </row>
    <row r="5">
      <c r="A5" s="44" t="inlineStr">
        <is>
          <t>Raspberry Pi setup</t>
        </is>
      </c>
      <c r="B5" s="67" t="inlineStr">
        <is>
          <t>PASS</t>
        </is>
      </c>
      <c r="C5" s="55" t="inlineStr">
        <is>
          <t>PENDING</t>
        </is>
      </c>
      <c r="D5" s="44" t="str"/>
      <c r="E5" s="44" t="str"/>
      <c r="F5" s="44" t="n"/>
      <c r="G5" s="44" t="n"/>
      <c r="H5" s="44" t="n"/>
    </row>
    <row r="6">
      <c r="A6" s="43" t="inlineStr">
        <is>
          <t>Home Assistant setup</t>
        </is>
      </c>
      <c r="B6" s="67" t="inlineStr">
        <is>
          <t>PASS</t>
        </is>
      </c>
      <c r="C6" s="55" t="inlineStr">
        <is>
          <t>PENDING</t>
        </is>
      </c>
      <c r="D6" s="43" t="str"/>
      <c r="E6" s="43" t="str"/>
      <c r="F6" s="43" t="n"/>
      <c r="G6" s="43" t="n"/>
      <c r="H6" s="43" t="n"/>
    </row>
    <row r="7">
      <c r="A7" s="44" t="inlineStr">
        <is>
          <t>LocalTuya / light.bedroom_group</t>
        </is>
      </c>
      <c r="B7" s="67" t="inlineStr">
        <is>
          <t>PASS</t>
        </is>
      </c>
      <c r="C7" s="55" t="inlineStr">
        <is>
          <t>PENDING</t>
        </is>
      </c>
      <c r="D7" s="44" t="str"/>
      <c r="E7" s="44" t="str"/>
      <c r="F7" s="44" t="n"/>
      <c r="G7" s="44" t="n"/>
      <c r="H7" s="44" t="n"/>
    </row>
    <row r="8">
      <c r="A8" s="43" t="inlineStr">
        <is>
          <t>Door-side flashing</t>
        </is>
      </c>
      <c r="B8" s="67" t="inlineStr">
        <is>
          <t>PASS</t>
        </is>
      </c>
      <c r="C8" s="55" t="inlineStr">
        <is>
          <t>PENDING</t>
        </is>
      </c>
      <c r="D8" s="43" t="str"/>
      <c r="E8" s="43" t="str"/>
      <c r="F8" s="43" t="n"/>
      <c r="G8" s="43" t="n"/>
      <c r="H8" s="43" t="n"/>
    </row>
    <row r="9">
      <c r="A9" s="44" t="inlineStr">
        <is>
          <t>Door-side hardware validation</t>
        </is>
      </c>
      <c r="B9" s="44" t="inlineStr">
        <is>
          <t>PASS or conditional PASS</t>
        </is>
      </c>
      <c r="C9" s="55" t="inlineStr">
        <is>
          <t>PENDING</t>
        </is>
      </c>
      <c r="D9" s="44" t="str"/>
      <c r="E9" s="44" t="str"/>
      <c r="F9" s="44" t="n"/>
      <c r="G9" s="44" t="n"/>
      <c r="H9" s="44" t="n"/>
    </row>
    <row r="10">
      <c r="A10" s="43" t="inlineStr">
        <is>
          <t>All 20 themes validated</t>
        </is>
      </c>
      <c r="B10" s="43" t="inlineStr">
        <is>
          <t>PASS or conditional PASS</t>
        </is>
      </c>
      <c r="C10" s="55" t="inlineStr">
        <is>
          <t>PENDING</t>
        </is>
      </c>
      <c r="D10" s="43" t="str"/>
      <c r="E10" s="43" t="str"/>
      <c r="F10" s="43" t="n"/>
      <c r="G10" s="43" t="n"/>
      <c r="H10" s="43" t="n"/>
    </row>
    <row r="11">
      <c r="A11" s="44" t="inlineStr">
        <is>
          <t>Bedside flashing</t>
        </is>
      </c>
      <c r="B11" s="67" t="inlineStr">
        <is>
          <t>PASS</t>
        </is>
      </c>
      <c r="C11" s="55" t="inlineStr">
        <is>
          <t>PENDING</t>
        </is>
      </c>
      <c r="D11" s="44" t="str"/>
      <c r="E11" s="44" t="str"/>
      <c r="F11" s="44" t="n"/>
      <c r="G11" s="44" t="n"/>
      <c r="H11" s="44" t="n"/>
    </row>
    <row r="12">
      <c r="A12" s="43" t="inlineStr">
        <is>
          <t>Bedside gesture validation</t>
        </is>
      </c>
      <c r="B12" s="43" t="inlineStr">
        <is>
          <t>PASS or conditional PASS</t>
        </is>
      </c>
      <c r="C12" s="55" t="inlineStr">
        <is>
          <t>PENDING</t>
        </is>
      </c>
      <c r="D12" s="43" t="str"/>
      <c r="E12" s="43" t="str"/>
      <c r="F12" s="43" t="n"/>
      <c r="G12" s="43" t="n"/>
      <c r="H12" s="43" t="n"/>
    </row>
    <row r="13">
      <c r="A13" s="44" t="inlineStr">
        <is>
          <t>Full E2E command path</t>
        </is>
      </c>
      <c r="B13" s="67" t="inlineStr">
        <is>
          <t>PASS</t>
        </is>
      </c>
      <c r="C13" s="55" t="inlineStr">
        <is>
          <t>PENDING</t>
        </is>
      </c>
      <c r="D13" s="44" t="str"/>
      <c r="E13" s="44" t="str"/>
      <c r="F13" s="44" t="n"/>
      <c r="G13" s="44" t="n"/>
      <c r="H13" s="44" t="n"/>
    </row>
    <row r="14">
      <c r="A14" s="43" t="inlineStr">
        <is>
          <t>Evidence package complete</t>
        </is>
      </c>
      <c r="B14" s="67" t="inlineStr">
        <is>
          <t>PASS</t>
        </is>
      </c>
      <c r="C14" s="55" t="inlineStr">
        <is>
          <t>PENDING</t>
        </is>
      </c>
      <c r="D14" s="43" t="str"/>
      <c r="E14" s="43" t="str"/>
      <c r="F14" s="43" t="n"/>
      <c r="G14" s="43" t="n"/>
      <c r="H14" s="43" t="n"/>
    </row>
    <row r="15">
      <c r="A15" s="44" t="inlineStr">
        <is>
          <t>Final Decision</t>
        </is>
      </c>
      <c r="B15" s="44" t="inlineStr">
        <is>
          <t>PASS / FAIL / CONDITIONAL PASS</t>
        </is>
      </c>
      <c r="C15" s="55" t="inlineStr">
        <is>
          <t>PENDING</t>
        </is>
      </c>
      <c r="D15" s="44" t="str"/>
      <c r="E15" s="44" t="str"/>
      <c r="F15" s="44" t="n"/>
      <c r="G15" s="44" t="n"/>
      <c r="H15" s="44" t="n"/>
    </row>
    <row r="16">
      <c r="A16" s="19" t="n"/>
      <c r="B16" s="19" t="n"/>
      <c r="C16" s="19" t="n"/>
      <c r="D16" s="19" t="n"/>
      <c r="E16" s="19" t="n"/>
    </row>
    <row r="17">
      <c r="A17" s="19" t="n"/>
      <c r="B17" s="19" t="n"/>
      <c r="C17" s="19" t="n"/>
      <c r="D17" s="19" t="n"/>
      <c r="E17" s="19" t="n"/>
    </row>
    <row r="18">
      <c r="A18" s="19" t="n"/>
      <c r="B18" s="19" t="n"/>
      <c r="C18" s="19" t="n"/>
      <c r="D18" s="19" t="n"/>
      <c r="E18" s="19" t="n"/>
    </row>
    <row r="19">
      <c r="A19" s="19" t="n"/>
      <c r="B19" s="19" t="n"/>
      <c r="C19" s="19" t="n"/>
      <c r="D19" s="19" t="n"/>
      <c r="E19" s="19" t="n"/>
    </row>
    <row r="20">
      <c r="A20" s="19" t="n"/>
      <c r="B20" s="19" t="n"/>
      <c r="C20" s="19" t="n"/>
      <c r="D20" s="19" t="n"/>
      <c r="E20" s="19" t="n"/>
    </row>
    <row r="21">
      <c r="A21" s="19" t="n"/>
      <c r="B21" s="19" t="n"/>
      <c r="C21" s="19" t="n"/>
      <c r="D21" s="19" t="n"/>
      <c r="E21" s="19" t="n"/>
    </row>
    <row r="22">
      <c r="A22" s="19" t="n"/>
      <c r="B22" s="19" t="n"/>
      <c r="C22" s="19" t="n"/>
      <c r="D22" s="19" t="n"/>
      <c r="E22" s="19" t="n"/>
    </row>
    <row r="23">
      <c r="A23" s="19" t="n"/>
      <c r="B23" s="19" t="n"/>
      <c r="C23" s="19" t="n"/>
      <c r="D23" s="19" t="n"/>
      <c r="E23" s="19" t="n"/>
    </row>
    <row r="24">
      <c r="A24" s="19" t="n"/>
      <c r="B24" s="19" t="n"/>
      <c r="C24" s="19" t="n"/>
      <c r="D24" s="19" t="n"/>
      <c r="E24" s="19" t="n"/>
    </row>
    <row r="25">
      <c r="A25" s="19" t="n"/>
      <c r="B25" s="19" t="n"/>
      <c r="C25" s="19" t="n"/>
      <c r="D25" s="19" t="n"/>
      <c r="E25" s="19" t="n"/>
    </row>
    <row r="26">
      <c r="A26" s="19" t="n"/>
      <c r="B26" s="19" t="n"/>
      <c r="C26" s="19" t="n"/>
      <c r="D26" s="19" t="n"/>
      <c r="E26" s="19" t="n"/>
    </row>
    <row r="27">
      <c r="A27" s="19" t="n"/>
      <c r="B27" s="19" t="n"/>
      <c r="C27" s="19" t="n"/>
      <c r="D27" s="19" t="n"/>
      <c r="E27" s="19" t="n"/>
    </row>
    <row r="28">
      <c r="A28" s="19" t="n"/>
      <c r="B28" s="19" t="n"/>
      <c r="C28" s="19" t="n"/>
      <c r="D28" s="19" t="n"/>
      <c r="E28" s="19" t="n"/>
    </row>
    <row r="29">
      <c r="A29" s="19" t="n"/>
      <c r="B29" s="19" t="n"/>
      <c r="C29" s="19" t="n"/>
      <c r="D29" s="19" t="n"/>
      <c r="E29" s="19" t="n"/>
    </row>
    <row r="30">
      <c r="A30" s="19" t="n"/>
      <c r="B30" s="19" t="n"/>
      <c r="C30" s="19" t="n"/>
      <c r="D30" s="19" t="n"/>
      <c r="E30" s="19" t="n"/>
    </row>
    <row r="31">
      <c r="A31" s="19" t="n"/>
      <c r="B31" s="19" t="n"/>
      <c r="C31" s="19" t="n"/>
      <c r="D31" s="19" t="n"/>
      <c r="E31" s="19" t="n"/>
    </row>
    <row r="32">
      <c r="A32" s="19" t="n"/>
      <c r="B32" s="19" t="n"/>
      <c r="C32" s="19" t="n"/>
      <c r="D32" s="19" t="n"/>
      <c r="E32" s="19" t="n"/>
    </row>
    <row r="33">
      <c r="A33" s="19" t="n"/>
      <c r="B33" s="19" t="n"/>
      <c r="C33" s="19" t="n"/>
      <c r="D33" s="19" t="n"/>
      <c r="E33" s="19" t="n"/>
    </row>
    <row r="34">
      <c r="A34" s="19" t="n"/>
      <c r="B34" s="19" t="n"/>
      <c r="C34" s="19" t="n"/>
      <c r="D34" s="19" t="n"/>
      <c r="E34" s="19" t="n"/>
    </row>
    <row r="35">
      <c r="A35" s="19" t="n"/>
      <c r="B35" s="19" t="n"/>
      <c r="C35" s="19" t="n"/>
      <c r="D35" s="19" t="n"/>
      <c r="E35" s="19" t="n"/>
    </row>
    <row r="36">
      <c r="A36" s="19" t="n"/>
      <c r="B36" s="19" t="n"/>
      <c r="C36" s="19" t="n"/>
      <c r="D36" s="19" t="n"/>
      <c r="E36" s="19" t="n"/>
    </row>
    <row r="37">
      <c r="A37" s="19" t="n"/>
      <c r="B37" s="19" t="n"/>
      <c r="C37" s="19" t="n"/>
      <c r="D37" s="19" t="n"/>
      <c r="E37" s="19" t="n"/>
    </row>
    <row r="38">
      <c r="A38" s="19" t="n"/>
      <c r="B38" s="19" t="n"/>
      <c r="C38" s="19" t="n"/>
      <c r="D38" s="19" t="n"/>
      <c r="E38" s="19" t="n"/>
    </row>
    <row r="39">
      <c r="A39" s="19" t="n"/>
      <c r="B39" s="19" t="n"/>
      <c r="C39" s="19" t="n"/>
      <c r="D39" s="19" t="n"/>
      <c r="E39" s="19" t="n"/>
    </row>
    <row r="40">
      <c r="A40" s="19" t="n"/>
      <c r="B40" s="19" t="n"/>
      <c r="C40" s="19" t="n"/>
      <c r="D40" s="19" t="n"/>
      <c r="E40" s="19" t="n"/>
    </row>
    <row r="41">
      <c r="A41" s="19" t="n"/>
      <c r="B41" s="19" t="n"/>
      <c r="C41" s="19" t="n"/>
      <c r="D41" s="19" t="n"/>
      <c r="E41" s="19" t="n"/>
    </row>
    <row r="42">
      <c r="A42" s="19" t="n"/>
      <c r="B42" s="19" t="n"/>
      <c r="C42" s="19" t="n"/>
      <c r="D42" s="19" t="n"/>
      <c r="E42" s="19" t="n"/>
    </row>
    <row r="43">
      <c r="A43" s="19" t="n"/>
      <c r="B43" s="19" t="n"/>
      <c r="C43" s="19" t="n"/>
      <c r="D43" s="19" t="n"/>
      <c r="E43" s="19" t="n"/>
    </row>
    <row r="44">
      <c r="A44" s="19" t="n"/>
      <c r="B44" s="19" t="n"/>
      <c r="C44" s="19" t="n"/>
      <c r="D44" s="19" t="n"/>
      <c r="E44" s="19" t="n"/>
    </row>
    <row r="45">
      <c r="A45" s="19" t="n"/>
      <c r="B45" s="19" t="n"/>
      <c r="C45" s="19" t="n"/>
      <c r="D45" s="19" t="n"/>
      <c r="E45" s="19" t="n"/>
    </row>
    <row r="46">
      <c r="A46" s="19" t="n"/>
      <c r="B46" s="19" t="n"/>
      <c r="C46" s="19" t="n"/>
      <c r="D46" s="19" t="n"/>
      <c r="E46" s="19" t="n"/>
    </row>
    <row r="47">
      <c r="A47" s="19" t="n"/>
      <c r="B47" s="19" t="n"/>
      <c r="C47" s="19" t="n"/>
      <c r="D47" s="19" t="n"/>
      <c r="E47" s="19" t="n"/>
    </row>
    <row r="48">
      <c r="A48" s="19" t="n"/>
      <c r="B48" s="19" t="n"/>
      <c r="C48" s="19" t="n"/>
      <c r="D48" s="19" t="n"/>
      <c r="E48" s="19" t="n"/>
    </row>
    <row r="49">
      <c r="A49" s="19" t="n"/>
      <c r="B49" s="19" t="n"/>
      <c r="C49" s="19" t="n"/>
      <c r="D49" s="19" t="n"/>
      <c r="E49" s="19" t="n"/>
    </row>
    <row r="50">
      <c r="A50" s="19" t="n"/>
      <c r="B50" s="19" t="n"/>
      <c r="C50" s="19" t="n"/>
      <c r="D50" s="19" t="n"/>
      <c r="E50" s="19" t="n"/>
    </row>
    <row r="51">
      <c r="A51" s="19" t="n"/>
      <c r="B51" s="19" t="n"/>
      <c r="C51" s="19" t="n"/>
      <c r="D51" s="19" t="n"/>
      <c r="E51" s="19" t="n"/>
    </row>
    <row r="52">
      <c r="A52" s="19" t="n"/>
      <c r="B52" s="19" t="n"/>
      <c r="C52" s="19" t="n"/>
      <c r="D52" s="19" t="n"/>
      <c r="E52" s="19" t="n"/>
    </row>
    <row r="53">
      <c r="A53" s="19" t="n"/>
      <c r="B53" s="19" t="n"/>
      <c r="C53" s="19" t="n"/>
      <c r="D53" s="19" t="n"/>
      <c r="E53" s="19" t="n"/>
    </row>
    <row r="54">
      <c r="A54" s="19" t="n"/>
      <c r="B54" s="19" t="n"/>
      <c r="C54" s="19" t="n"/>
      <c r="D54" s="19" t="n"/>
      <c r="E54" s="19" t="n"/>
    </row>
    <row r="55">
      <c r="A55" s="19" t="n"/>
      <c r="B55" s="19" t="n"/>
      <c r="C55" s="19" t="n"/>
      <c r="D55" s="19" t="n"/>
      <c r="E55" s="19" t="n"/>
    </row>
    <row r="56">
      <c r="A56" s="19" t="n"/>
      <c r="B56" s="19" t="n"/>
      <c r="C56" s="19" t="n"/>
      <c r="D56" s="19" t="n"/>
      <c r="E56" s="19" t="n"/>
    </row>
    <row r="57">
      <c r="A57" s="19" t="n"/>
      <c r="B57" s="19" t="n"/>
      <c r="C57" s="19" t="n"/>
      <c r="D57" s="19" t="n"/>
      <c r="E57" s="19" t="n"/>
    </row>
    <row r="58">
      <c r="A58" s="19" t="n"/>
      <c r="B58" s="19" t="n"/>
      <c r="C58" s="19" t="n"/>
      <c r="D58" s="19" t="n"/>
      <c r="E58" s="19" t="n"/>
    </row>
    <row r="59">
      <c r="A59" s="19" t="n"/>
      <c r="B59" s="19" t="n"/>
      <c r="C59" s="19" t="n"/>
      <c r="D59" s="19" t="n"/>
      <c r="E59" s="19" t="n"/>
    </row>
    <row r="60">
      <c r="A60" s="19" t="n"/>
      <c r="B60" s="19" t="n"/>
      <c r="C60" s="19" t="n"/>
      <c r="D60" s="19" t="n"/>
      <c r="E60" s="19" t="n"/>
    </row>
    <row r="61">
      <c r="A61" s="19" t="n"/>
      <c r="B61" s="19" t="n"/>
      <c r="C61" s="19" t="n"/>
      <c r="D61" s="19" t="n"/>
      <c r="E61" s="19" t="n"/>
    </row>
    <row r="62">
      <c r="A62" s="19" t="n"/>
      <c r="B62" s="19" t="n"/>
      <c r="C62" s="19" t="n"/>
      <c r="D62" s="19" t="n"/>
      <c r="E62" s="19" t="n"/>
    </row>
    <row r="63">
      <c r="A63" s="19" t="n"/>
      <c r="B63" s="19" t="n"/>
      <c r="C63" s="19" t="n"/>
      <c r="D63" s="19" t="n"/>
      <c r="E63" s="19" t="n"/>
    </row>
    <row r="64">
      <c r="A64" s="19" t="n"/>
      <c r="B64" s="19" t="n"/>
      <c r="C64" s="19" t="n"/>
      <c r="D64" s="19" t="n"/>
      <c r="E64" s="19" t="n"/>
    </row>
    <row r="65">
      <c r="A65" s="19" t="n"/>
      <c r="B65" s="19" t="n"/>
      <c r="C65" s="19" t="n"/>
      <c r="D65" s="19" t="n"/>
      <c r="E65" s="19" t="n"/>
    </row>
    <row r="66">
      <c r="A66" s="19" t="n"/>
      <c r="B66" s="19" t="n"/>
      <c r="C66" s="19" t="n"/>
      <c r="D66" s="19" t="n"/>
      <c r="E66" s="19" t="n"/>
    </row>
    <row r="67">
      <c r="A67" s="19" t="n"/>
      <c r="B67" s="19" t="n"/>
      <c r="C67" s="19" t="n"/>
      <c r="D67" s="19" t="n"/>
      <c r="E67" s="19" t="n"/>
    </row>
    <row r="68">
      <c r="A68" s="19" t="n"/>
      <c r="B68" s="19" t="n"/>
      <c r="C68" s="19" t="n"/>
      <c r="D68" s="19" t="n"/>
      <c r="E68" s="19" t="n"/>
    </row>
    <row r="69">
      <c r="A69" s="19" t="n"/>
      <c r="B69" s="19" t="n"/>
      <c r="C69" s="19" t="n"/>
      <c r="D69" s="19" t="n"/>
      <c r="E69" s="19" t="n"/>
    </row>
    <row r="70">
      <c r="A70" s="19" t="n"/>
      <c r="B70" s="19" t="n"/>
      <c r="C70" s="19" t="n"/>
      <c r="D70" s="19" t="n"/>
      <c r="E70" s="19" t="n"/>
    </row>
    <row r="71">
      <c r="A71" s="19" t="n"/>
      <c r="B71" s="19" t="n"/>
      <c r="C71" s="19" t="n"/>
      <c r="D71" s="19" t="n"/>
      <c r="E71" s="19" t="n"/>
    </row>
    <row r="72">
      <c r="A72" s="19" t="n"/>
      <c r="B72" s="19" t="n"/>
      <c r="C72" s="19" t="n"/>
      <c r="D72" s="19" t="n"/>
      <c r="E72" s="19" t="n"/>
    </row>
    <row r="73">
      <c r="A73" s="19" t="n"/>
      <c r="B73" s="19" t="n"/>
      <c r="C73" s="19" t="n"/>
      <c r="D73" s="19" t="n"/>
      <c r="E73" s="19" t="n"/>
    </row>
    <row r="74">
      <c r="A74" s="19" t="n"/>
      <c r="B74" s="19" t="n"/>
      <c r="C74" s="19" t="n"/>
      <c r="D74" s="19" t="n"/>
      <c r="E74" s="19" t="n"/>
    </row>
    <row r="75">
      <c r="A75" s="19" t="n"/>
      <c r="B75" s="19" t="n"/>
      <c r="C75" s="19" t="n"/>
      <c r="D75" s="19" t="n"/>
      <c r="E75" s="19" t="n"/>
    </row>
    <row r="76">
      <c r="A76" s="19" t="n"/>
      <c r="B76" s="19" t="n"/>
      <c r="C76" s="19" t="n"/>
      <c r="D76" s="19" t="n"/>
      <c r="E76" s="19" t="n"/>
    </row>
    <row r="77">
      <c r="A77" s="19" t="n"/>
      <c r="B77" s="19" t="n"/>
      <c r="C77" s="19" t="n"/>
      <c r="D77" s="19" t="n"/>
      <c r="E77" s="19" t="n"/>
    </row>
    <row r="78">
      <c r="A78" s="19" t="n"/>
      <c r="B78" s="19" t="n"/>
      <c r="C78" s="19" t="n"/>
      <c r="D78" s="19" t="n"/>
      <c r="E78" s="19" t="n"/>
    </row>
    <row r="79">
      <c r="A79" s="19" t="n"/>
      <c r="B79" s="19" t="n"/>
      <c r="C79" s="19" t="n"/>
      <c r="D79" s="19" t="n"/>
      <c r="E79" s="19" t="n"/>
    </row>
    <row r="80">
      <c r="A80" s="19" t="n"/>
      <c r="B80" s="19" t="n"/>
      <c r="C80" s="19" t="n"/>
      <c r="D80" s="19" t="n"/>
      <c r="E80" s="19" t="n"/>
    </row>
  </sheetData>
  <mergeCells count="2">
    <mergeCell ref="A2:H2"/>
    <mergeCell ref="A1:H1"/>
  </mergeCells>
  <dataValidations count="1">
    <dataValidation sqref="C5:C15" showDropDown="0" showInputMessage="0" showErrorMessage="0" allowBlank="0" type="list">
      <formula1>"PENDING,PASS,FAIL,CONDITIONAL PASS"</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2026-05-29T20:11:16Z</dcterms:created>
  <dcterms:modified xmlns:dcterms="http://purl.org/dc/terms/" xmlns:xsi="http://www.w3.org/2001/XMLSchema-instance" xsi:type="dcterms:W3CDTF">2026-05-29T20:11:17Z</dcterms:modified>
</cp:coreProperties>
</file>